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hidePivotFieldList="1" defaultThemeVersion="166925"/>
  <mc:AlternateContent xmlns:mc="http://schemas.openxmlformats.org/markup-compatibility/2006">
    <mc:Choice Requires="x15">
      <x15ac:absPath xmlns:x15ac="http://schemas.microsoft.com/office/spreadsheetml/2010/11/ac" url="C:\Users\SANDIP\Desktop\Month_Wise_Data\"/>
    </mc:Choice>
  </mc:AlternateContent>
  <xr:revisionPtr revIDLastSave="0" documentId="13_ncr:1_{C05B939C-EA49-46E8-AA45-A73E1BD040E8}" xr6:coauthVersionLast="45" xr6:coauthVersionMax="45" xr10:uidLastSave="{00000000-0000-0000-0000-000000000000}"/>
  <bookViews>
    <workbookView xWindow="-120" yWindow="-120" windowWidth="20730" windowHeight="11280" activeTab="3" xr2:uid="{D837B4D7-7A1D-42A7-ACD2-42B85DE262E2}"/>
  </bookViews>
  <sheets>
    <sheet name="Project Hints" sheetId="1" r:id="rId1"/>
    <sheet name="Path" sheetId="2" r:id="rId2"/>
    <sheet name="Database" sheetId="4" r:id="rId3"/>
    <sheet name="Mapping" sheetId="5" r:id="rId4"/>
    <sheet name="Workings" sheetId="6" r:id="rId5"/>
  </sheets>
  <definedNames>
    <definedName name="ExternalData_1" localSheetId="2" hidden="1">Database!$A$1:$G$1685</definedName>
    <definedName name="Slicer_Month_Name">#N/A</definedName>
  </definedNames>
  <calcPr calcId="18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5" i="6" l="1"/>
  <c r="I6" i="6" s="1"/>
  <c r="B4" i="5"/>
  <c r="B5" i="5"/>
  <c r="B6" i="5"/>
  <c r="B7" i="5" l="1"/>
  <c r="E24" i="6"/>
  <c r="E25" i="6"/>
  <c r="E26" i="6"/>
  <c r="E27" i="6"/>
  <c r="D24" i="6"/>
  <c r="D25" i="6"/>
  <c r="D26" i="6"/>
  <c r="D27" i="6"/>
  <c r="H4" i="6"/>
  <c r="Z4" i="5"/>
  <c r="K4" i="6" l="1"/>
  <c r="F27" i="6"/>
  <c r="G27" i="6" s="1"/>
  <c r="F26" i="6"/>
  <c r="F25" i="6"/>
  <c r="F24" i="6"/>
  <c r="H14" i="6"/>
  <c r="H15" i="6"/>
  <c r="H16" i="6"/>
  <c r="H17" i="6"/>
  <c r="I14" i="6"/>
  <c r="I16" i="6"/>
  <c r="I15" i="6"/>
  <c r="I17" i="6"/>
  <c r="J27" i="6" l="1"/>
  <c r="G24" i="6"/>
  <c r="J24" i="6" s="1"/>
  <c r="G25" i="6"/>
  <c r="J25" i="6" s="1"/>
  <c r="G26" i="6"/>
  <c r="J26" i="6" s="1"/>
  <c r="K17" i="6"/>
  <c r="K16" i="6"/>
  <c r="K15" i="6"/>
  <c r="K14" i="6"/>
  <c r="AC3" i="5"/>
  <c r="AB4" i="5"/>
  <c r="AA16" i="5"/>
  <c r="Z18" i="5"/>
  <c r="AA8" i="5"/>
  <c r="Z7" i="5"/>
  <c r="Z14" i="5"/>
  <c r="AB8" i="5"/>
  <c r="Z17" i="5"/>
  <c r="AB17" i="5"/>
  <c r="AA17" i="5"/>
  <c r="AB11" i="5"/>
  <c r="AA15" i="5"/>
  <c r="AA14" i="5"/>
  <c r="AB19" i="5"/>
  <c r="AA10" i="5"/>
  <c r="Z6" i="5"/>
  <c r="AB20" i="5"/>
  <c r="AB7" i="5"/>
  <c r="Z9" i="5"/>
  <c r="AB21" i="5"/>
  <c r="Z8" i="5"/>
  <c r="AB6" i="5"/>
  <c r="Z12" i="5"/>
  <c r="Z21" i="5"/>
  <c r="AB5" i="5"/>
  <c r="Z19" i="5"/>
  <c r="AB12" i="5"/>
  <c r="AB10" i="5"/>
  <c r="AA11" i="5"/>
  <c r="AB13" i="5"/>
  <c r="Z11" i="5"/>
  <c r="AA4" i="5"/>
  <c r="AB16" i="5"/>
  <c r="AB15" i="5"/>
  <c r="Z13" i="5"/>
  <c r="AA20" i="5"/>
  <c r="AA9" i="5"/>
  <c r="AA18" i="5"/>
  <c r="AA21" i="5"/>
  <c r="AA5" i="5"/>
  <c r="AA12" i="5"/>
  <c r="AB9" i="5"/>
  <c r="AB14" i="5"/>
  <c r="Z5" i="5"/>
  <c r="AA7" i="5"/>
  <c r="Z10" i="5"/>
  <c r="Z20" i="5"/>
  <c r="AA13" i="5"/>
  <c r="AA6" i="5"/>
  <c r="Z15" i="5"/>
  <c r="AB18" i="5"/>
  <c r="Z16" i="5"/>
  <c r="AA19" i="5"/>
  <c r="AC20" i="5" l="1"/>
  <c r="AC16" i="5"/>
  <c r="AC12" i="5"/>
  <c r="AC8" i="5"/>
  <c r="AC4" i="5"/>
  <c r="AC19" i="5"/>
  <c r="AC15" i="5"/>
  <c r="AC11" i="5"/>
  <c r="AC7" i="5"/>
  <c r="AC18" i="5"/>
  <c r="AC14" i="5"/>
  <c r="AC10" i="5"/>
  <c r="AC6" i="5"/>
  <c r="AC17" i="5"/>
  <c r="AC13" i="5"/>
  <c r="AC9" i="5"/>
  <c r="AC5" i="5"/>
  <c r="AC21" i="5"/>
  <c r="AC22" i="5" l="1"/>
  <c r="AD18" i="5" l="1"/>
  <c r="AD6" i="5"/>
  <c r="AD10" i="5"/>
  <c r="AD14" i="5"/>
  <c r="AD7" i="5"/>
  <c r="AD12" i="5"/>
  <c r="AD5" i="5"/>
  <c r="AD4" i="5"/>
  <c r="AD8" i="5"/>
  <c r="AD11" i="5"/>
  <c r="AD16" i="5"/>
  <c r="AD9" i="5"/>
  <c r="AD17" i="5"/>
  <c r="AD15" i="5"/>
  <c r="AD20" i="5"/>
  <c r="AD13" i="5"/>
  <c r="AD19" i="5"/>
  <c r="AD21" i="5"/>
  <c r="AD22"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9111B25-7BD5-413B-AF9C-77AD69D1B386}" keepAlive="1" name="Query - Data" description="Connection to the 'Data' query in the workbook." type="5" refreshedVersion="6" background="1" saveData="1">
    <dbPr connection="Provider=Microsoft.Mashup.OleDb.1;Data Source=$Workbook$;Location=Data;Extended Properties=&quot;&quot;" command="SELECT * FROM [Data]"/>
  </connection>
  <connection id="2" xr16:uid="{4DFB6400-4BDE-454D-B788-DDEB01169ECA}"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F9544B62-CC0D-44B7-A249-507E8098C939}" keepAlive="1" name="Query - Path_tbl" description="Connection to the 'Path_tbl' query in the workbook." type="5" refreshedVersion="6" background="1" saveData="1">
    <dbPr connection="Provider=Microsoft.Mashup.OleDb.1;Data Source=$Workbook$;Location=Path_tbl;Extended Properties=&quot;&quot;" command="SELECT * FROM [Path_tbl]"/>
  </connection>
  <connection id="4" xr16:uid="{9ECE406A-EE21-4D82-8EBE-C8E4ACA8C3E7}"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5" xr16:uid="{29FE6D61-B0E9-4524-BB3B-8D76CAE5F132}"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6" xr16:uid="{0A75D514-201E-491C-B557-3132817A45BE}"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<sst xmlns="http://schemas.openxmlformats.org/spreadsheetml/2006/main" count="5206" uniqueCount="117">
  <si>
    <t>Module</t>
  </si>
  <si>
    <t>Task</t>
  </si>
  <si>
    <t>Module 1</t>
  </si>
  <si>
    <t>Module 2</t>
  </si>
  <si>
    <t>Map Drawing</t>
  </si>
  <si>
    <t>Module 3</t>
  </si>
  <si>
    <t>Module 4</t>
  </si>
  <si>
    <t>Module 5</t>
  </si>
  <si>
    <t>Module 6</t>
  </si>
  <si>
    <t>Module 7</t>
  </si>
  <si>
    <t>Module 8</t>
  </si>
  <si>
    <t>Create Pivot Table &amp; Slicer</t>
  </si>
  <si>
    <t>Create A Update Macro For Update Button</t>
  </si>
  <si>
    <t>Freeform Number Indexing With District Name</t>
  </si>
  <si>
    <t>Textbox Number Indexing With District Name</t>
  </si>
  <si>
    <t>Create A Data Validation</t>
  </si>
  <si>
    <t>Use Index Match For Datavalidation Value</t>
  </si>
  <si>
    <t>Data Connect With Pivot Table By Getpivotdata</t>
  </si>
  <si>
    <t>Assign Conditional Fromatting Color In Index-Match Column</t>
  </si>
  <si>
    <t>Create Code To Attach Map Image With Color</t>
  </si>
  <si>
    <t>Create Sheet For Workings Of Speedmeter,Roket &amp; Tube Chart</t>
  </si>
  <si>
    <t>For Tube Meter Create A Pivot Table</t>
  </si>
  <si>
    <t>Create Some Column For Tube Data Animation</t>
  </si>
  <si>
    <t>Create Column Chart And Chnge It Tube Chart</t>
  </si>
  <si>
    <t>Create Module Code &amp; Call It To Sheet Pivot Update Event</t>
  </si>
  <si>
    <t xml:space="preserve">Check Slicer Is Controlled The Tube Chart Properly </t>
  </si>
  <si>
    <t>For Rocket Meter Create A Pivot Table</t>
  </si>
  <si>
    <t>Create Column Chart And Chnge It Rocket Chart</t>
  </si>
  <si>
    <t>Create Module Code &amp; Call It To Sheet Change Event</t>
  </si>
  <si>
    <t xml:space="preserve">Check Slicer Is Controlled The Rocket Chart Properly </t>
  </si>
  <si>
    <t>For Speed Meter Create A Pivot Table</t>
  </si>
  <si>
    <t>Create Some Column For Speed Meter Data Animation</t>
  </si>
  <si>
    <t>Create Speed Meter &amp; Assign Data To It</t>
  </si>
  <si>
    <t>Create Speed Meter Color Caption</t>
  </si>
  <si>
    <t>Create Color Table</t>
  </si>
  <si>
    <t>Use Vlookup To Intergrate Color Table To Speed Meter Result</t>
  </si>
  <si>
    <t>Use Text Box For Texting</t>
  </si>
  <si>
    <t>Create Speed Meter Color Caption Subroutine Then Call It</t>
  </si>
  <si>
    <t>Create Code  For Tube Meter &amp; Rocket Meter Dynamicaly Represent.</t>
  </si>
  <si>
    <t>Create Company Caption Data</t>
  </si>
  <si>
    <t>Design Finally &amp; See All Connection.</t>
  </si>
  <si>
    <t>Process Data By Power Query</t>
  </si>
  <si>
    <t>Path</t>
  </si>
  <si>
    <t>C:\Users\SANDIP\Desktop\Month_Wise_Data\Data</t>
  </si>
  <si>
    <t>Date</t>
  </si>
  <si>
    <t>Month Name</t>
  </si>
  <si>
    <t>Location</t>
  </si>
  <si>
    <t>District</t>
  </si>
  <si>
    <t>Qty</t>
  </si>
  <si>
    <t>T Sale</t>
  </si>
  <si>
    <t>T Collection</t>
  </si>
  <si>
    <t>April</t>
  </si>
  <si>
    <t>Basundhara</t>
  </si>
  <si>
    <t>BANKURA</t>
  </si>
  <si>
    <t>MIDNAPORE EAST WEST</t>
  </si>
  <si>
    <t>SOUTH 24 PARGANAS</t>
  </si>
  <si>
    <t>DARJEELING</t>
  </si>
  <si>
    <t>KOLKATA</t>
  </si>
  <si>
    <t>COCH BEHAR</t>
  </si>
  <si>
    <t>NADIA</t>
  </si>
  <si>
    <t>PURULIA</t>
  </si>
  <si>
    <t>JALPAIGURI</t>
  </si>
  <si>
    <t>BURDWAN</t>
  </si>
  <si>
    <t>HOWRAH</t>
  </si>
  <si>
    <t>NORTH 24 PARGANAS</t>
  </si>
  <si>
    <t>HOOGHLY</t>
  </si>
  <si>
    <t>MALDAH</t>
  </si>
  <si>
    <t>MURSHIDABAD</t>
  </si>
  <si>
    <t>Gulshan</t>
  </si>
  <si>
    <t>UTTAR DINAJPUR</t>
  </si>
  <si>
    <t>DAKSHIN DINAJPUR</t>
  </si>
  <si>
    <t>BIRBHUM</t>
  </si>
  <si>
    <t>Mirpur</t>
  </si>
  <si>
    <t>Uttara</t>
  </si>
  <si>
    <t>February</t>
  </si>
  <si>
    <t>January</t>
  </si>
  <si>
    <t>March</t>
  </si>
  <si>
    <t>Row Labels</t>
  </si>
  <si>
    <t>Grand Total</t>
  </si>
  <si>
    <t>District Name</t>
  </si>
  <si>
    <t>Freeform</t>
  </si>
  <si>
    <t xml:space="preserve">  Qty</t>
  </si>
  <si>
    <t xml:space="preserve">  T Sale</t>
  </si>
  <si>
    <t xml:space="preserve">  T Collection</t>
  </si>
  <si>
    <t>% For Conditional Formatting</t>
  </si>
  <si>
    <t>TextBox</t>
  </si>
  <si>
    <t>KPI</t>
  </si>
  <si>
    <t>Speed Meter</t>
  </si>
  <si>
    <t>Tube Meter</t>
  </si>
  <si>
    <t>Rocket Meter</t>
  </si>
  <si>
    <t xml:space="preserve">  Collection %</t>
  </si>
  <si>
    <t>Used Data</t>
  </si>
  <si>
    <t>Supporting Used Data</t>
  </si>
  <si>
    <t>Transparent Area</t>
  </si>
  <si>
    <t>Caption Area</t>
  </si>
  <si>
    <t>Top Cap</t>
  </si>
  <si>
    <t>Bottom Cap</t>
  </si>
  <si>
    <t>Sum of Qty</t>
  </si>
  <si>
    <t>Max</t>
  </si>
  <si>
    <t>Productivity %</t>
  </si>
  <si>
    <t>Supporting Productivity %</t>
  </si>
  <si>
    <t>Rocket Area</t>
  </si>
  <si>
    <t>Supporting Qty</t>
  </si>
  <si>
    <t xml:space="preserve">Supporting </t>
  </si>
  <si>
    <t>Needle</t>
  </si>
  <si>
    <t>Rest Area</t>
  </si>
  <si>
    <t>Fixed Area</t>
  </si>
  <si>
    <t>Bad</t>
  </si>
  <si>
    <t>Average</t>
  </si>
  <si>
    <t>Good</t>
  </si>
  <si>
    <t>Best</t>
  </si>
  <si>
    <t>Sales Qty</t>
  </si>
  <si>
    <t>Sales Amt.</t>
  </si>
  <si>
    <t>Collection</t>
  </si>
  <si>
    <t>Collection %</t>
  </si>
  <si>
    <t>RocketMeter off</t>
  </si>
  <si>
    <t>May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</si>
</sst>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5" formatCode="&quot;₹&quot;\ #,##0;&quot;₹&quot;\ \-#,##0"/>
    <numFmt numFmtId="43" formatCode="_ * #,##0.00_ ;_ * \-#,##0.00_ ;_ * &quot;-&quot;??_ ;_ @_ "/>
    <numFmt numFmtId="164" formatCode="_ * #,##0_ ;_ * \-#,##0_ ;_ * &quot;-&quot;??_ ;_ @_ "/>
    <numFmt numFmtId="165" formatCode="&quot;₹&quot;\ #,##0"/>
  </numFmts>
  <fonts count="10" x14ac:knownFonts="1">
    <font>
      <sz val="11"/>
      <color theme="1"/>
      <name val="Calibri"/>
      <family val="2"/>
      <scheme val="minor"/>
    </font>
    <font>
      <b/>
      <sz val="10"/>
      <color theme="0"/>
      <name val="Calibri"/>
      <family val="2"/>
      <scheme val="minor"/>
    </font>
    <font>
      <sz val="10"/>
      <color theme="1"/>
      <name val="Calibri"/>
      <family val="2"/>
      <scheme val="minor"/>
    </font>
    <font>
      <sz val="8"/>
      <name val="Calibri"/>
      <family val="2"/>
      <scheme val="minor"/>
    </font>
    <font>
      <b/>
      <sz val="10"/>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2"/>
      <color theme="0"/>
      <name val="Stencil"/>
      <family val="5"/>
    </font>
    <font>
      <sz val="12"/>
      <color theme="1"/>
      <name val="Stencil"/>
      <family val="5"/>
    </font>
  </fonts>
  <fills count="1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70C0"/>
        <bgColor indexed="64"/>
      </patternFill>
    </fill>
    <fill>
      <patternFill patternType="solid">
        <fgColor rgb="FF0070C0"/>
        <bgColor theme="4" tint="0.79998168889431442"/>
      </patternFill>
    </fill>
    <fill>
      <patternFill patternType="solid">
        <fgColor rgb="FFFF660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00863D"/>
        <bgColor indexed="64"/>
      </patternFill>
    </fill>
    <fill>
      <patternFill patternType="solid">
        <fgColor rgb="FFFF0000"/>
        <bgColor indexed="64"/>
      </patternFill>
    </fill>
    <fill>
      <patternFill patternType="solid">
        <fgColor theme="9" tint="-0.499984740745262"/>
        <bgColor indexed="64"/>
      </patternFill>
    </fill>
    <fill>
      <patternFill patternType="solid">
        <fgColor theme="9"/>
        <bgColor indexed="64"/>
      </patternFill>
    </fill>
    <fill>
      <patternFill patternType="solid">
        <fgColor theme="5"/>
        <bgColor indexed="64"/>
      </patternFill>
    </fill>
    <fill>
      <patternFill patternType="solid">
        <fgColor rgb="FF253917"/>
        <bgColor indexed="64"/>
      </patternFill>
    </fill>
    <fill>
      <patternFill patternType="solid">
        <fgColor theme="0" tint="-0.34998626667073579"/>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double">
        <color auto="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style="thin">
        <color theme="0"/>
      </top>
      <bottom style="thin">
        <color theme="0"/>
      </bottom>
      <diagonal/>
    </border>
    <border>
      <left/>
      <right style="thin">
        <color indexed="64"/>
      </right>
      <top style="thin">
        <color theme="0"/>
      </top>
      <bottom style="thin">
        <color theme="0"/>
      </bottom>
      <diagonal/>
    </border>
    <border>
      <left style="thin">
        <color indexed="64"/>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s>
  <cellStyleXfs count="3">
    <xf numFmtId="0" fontId="0" fillId="0" borderId="0"/>
    <xf numFmtId="43" fontId="5" fillId="0" borderId="0" applyFont="0" applyFill="0" applyBorder="0" applyAlignment="0" applyProtection="0"/>
    <xf numFmtId="9" fontId="5" fillId="0" borderId="0" applyFont="0" applyFill="0" applyBorder="0" applyAlignment="0" applyProtection="0"/>
  </cellStyleXfs>
  <cellXfs count="52">
    <xf numFmtId="0" fontId="0" fillId="0" borderId="0" xfId="0"/>
    <xf numFmtId="0" fontId="2" fillId="0" borderId="0" xfId="0" applyFont="1"/>
    <xf numFmtId="0" fontId="2" fillId="0" borderId="0" xfId="0" applyFont="1" applyAlignment="1">
      <alignment wrapText="1"/>
    </xf>
    <xf numFmtId="0" fontId="2" fillId="0" borderId="1" xfId="0" applyFont="1" applyBorder="1" applyAlignment="1">
      <alignment horizontal="center" vertical="center" wrapText="1"/>
    </xf>
    <xf numFmtId="0" fontId="0" fillId="0" borderId="0" xfId="0" applyNumberFormat="1"/>
    <xf numFmtId="14" fontId="0" fillId="0" borderId="0" xfId="0" applyNumberFormat="1"/>
    <xf numFmtId="0" fontId="2" fillId="0" borderId="0" xfId="0" pivotButton="1" applyFont="1"/>
    <xf numFmtId="0" fontId="2" fillId="0" borderId="0" xfId="0" applyFont="1" applyAlignment="1">
      <alignment horizontal="left"/>
    </xf>
    <xf numFmtId="164" fontId="2" fillId="0" borderId="0" xfId="0" applyNumberFormat="1" applyFont="1"/>
    <xf numFmtId="0" fontId="2" fillId="2" borderId="1" xfId="0" applyFont="1" applyFill="1" applyBorder="1" applyAlignment="1">
      <alignment wrapText="1"/>
    </xf>
    <xf numFmtId="0" fontId="1" fillId="4" borderId="1" xfId="0" applyFont="1" applyFill="1" applyBorder="1" applyAlignment="1">
      <alignment horizontal="center" vertical="center" wrapText="1"/>
    </xf>
    <xf numFmtId="0" fontId="1" fillId="5" borderId="3" xfId="0" applyFont="1" applyFill="1" applyBorder="1" applyAlignment="1">
      <alignment horizontal="center" vertical="center"/>
    </xf>
    <xf numFmtId="0" fontId="1" fillId="5" borderId="0" xfId="0" applyFont="1" applyFill="1" applyAlignment="1">
      <alignment horizontal="center" vertical="center"/>
    </xf>
    <xf numFmtId="0" fontId="4" fillId="3" borderId="4" xfId="0" applyFont="1" applyFill="1" applyBorder="1" applyAlignment="1">
      <alignment horizontal="left"/>
    </xf>
    <xf numFmtId="3" fontId="4" fillId="3" borderId="4" xfId="0" applyNumberFormat="1" applyFont="1" applyFill="1" applyBorder="1"/>
    <xf numFmtId="164" fontId="4" fillId="3" borderId="5" xfId="1" applyNumberFormat="1" applyFont="1" applyFill="1" applyBorder="1"/>
    <xf numFmtId="10" fontId="4" fillId="3" borderId="5" xfId="2" applyNumberFormat="1" applyFont="1" applyFill="1" applyBorder="1"/>
    <xf numFmtId="0" fontId="2" fillId="0" borderId="0" xfId="0" applyFont="1" applyAlignment="1">
      <alignment horizontal="left" vertical="center"/>
    </xf>
    <xf numFmtId="0" fontId="2" fillId="0" borderId="0" xfId="0" applyFont="1" applyAlignment="1">
      <alignment horizontal="right"/>
    </xf>
    <xf numFmtId="10" fontId="4" fillId="6" borderId="0" xfId="2" applyNumberFormat="1" applyFont="1" applyFill="1" applyAlignment="1">
      <alignment horizontal="right"/>
    </xf>
    <xf numFmtId="0" fontId="2" fillId="0" borderId="0" xfId="0" applyNumberFormat="1" applyFont="1"/>
    <xf numFmtId="9" fontId="2" fillId="0" borderId="0" xfId="2" applyFont="1"/>
    <xf numFmtId="9" fontId="2" fillId="0" borderId="0" xfId="0" applyNumberFormat="1" applyFont="1"/>
    <xf numFmtId="0" fontId="2" fillId="0" borderId="0" xfId="0" applyFont="1" applyFill="1"/>
    <xf numFmtId="9" fontId="2" fillId="0" borderId="0" xfId="2" applyNumberFormat="1" applyFont="1"/>
    <xf numFmtId="0" fontId="0" fillId="8" borderId="0" xfId="0" applyFill="1"/>
    <xf numFmtId="9" fontId="2" fillId="0" borderId="0" xfId="2" applyFont="1" applyAlignment="1">
      <alignment horizontal="center"/>
    </xf>
    <xf numFmtId="0" fontId="4" fillId="3" borderId="3" xfId="0" applyFont="1" applyFill="1" applyBorder="1" applyAlignment="1">
      <alignment horizontal="center" vertical="center"/>
    </xf>
    <xf numFmtId="0" fontId="2" fillId="9" borderId="0" xfId="0" applyFont="1" applyFill="1"/>
    <xf numFmtId="0" fontId="0" fillId="8" borderId="0" xfId="0" applyFill="1" applyBorder="1"/>
    <xf numFmtId="9" fontId="2" fillId="0" borderId="1" xfId="0" applyNumberFormat="1" applyFont="1" applyBorder="1" applyAlignment="1">
      <alignment horizontal="center" vertic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xf>
    <xf numFmtId="0" fontId="2" fillId="6" borderId="1" xfId="0" applyFont="1" applyFill="1" applyBorder="1" applyAlignment="1">
      <alignment horizontal="center" vertical="center"/>
    </xf>
    <xf numFmtId="0" fontId="2" fillId="13" borderId="1" xfId="0" applyFont="1" applyFill="1" applyBorder="1" applyAlignment="1">
      <alignment horizontal="center" vertical="center"/>
    </xf>
    <xf numFmtId="0" fontId="2" fillId="10" borderId="1" xfId="0" applyFont="1" applyFill="1" applyBorder="1" applyAlignment="1">
      <alignment horizontal="center" vertical="center"/>
    </xf>
    <xf numFmtId="0" fontId="8" fillId="12" borderId="6" xfId="0" applyFont="1" applyFill="1" applyBorder="1" applyAlignment="1">
      <alignment horizontal="center" vertical="center"/>
    </xf>
    <xf numFmtId="0" fontId="9" fillId="14" borderId="6" xfId="0" applyFont="1" applyFill="1" applyBorder="1" applyAlignment="1">
      <alignment horizontal="center" vertical="center"/>
    </xf>
    <xf numFmtId="5" fontId="2" fillId="0" borderId="0" xfId="0" applyNumberFormat="1" applyFont="1"/>
    <xf numFmtId="0" fontId="6" fillId="15" borderId="13" xfId="0" applyFont="1" applyFill="1" applyBorder="1" applyAlignment="1">
      <alignment horizontal="right" vertical="center"/>
    </xf>
    <xf numFmtId="0" fontId="6" fillId="15" borderId="14" xfId="0" applyFont="1" applyFill="1" applyBorder="1" applyAlignment="1">
      <alignment horizontal="right" vertical="center"/>
    </xf>
    <xf numFmtId="0" fontId="6" fillId="15" borderId="15" xfId="0" applyFont="1" applyFill="1" applyBorder="1" applyAlignment="1">
      <alignment horizontal="right" vertical="center"/>
    </xf>
    <xf numFmtId="0" fontId="1" fillId="7" borderId="0" xfId="0" applyFont="1" applyFill="1"/>
    <xf numFmtId="0" fontId="0" fillId="0" borderId="0" xfId="0" applyFill="1"/>
    <xf numFmtId="0" fontId="2" fillId="2" borderId="2" xfId="0" applyFont="1" applyFill="1" applyBorder="1" applyAlignment="1">
      <alignment wrapText="1"/>
    </xf>
    <xf numFmtId="0" fontId="2" fillId="0" borderId="1" xfId="0" applyFont="1" applyBorder="1" applyAlignment="1">
      <alignment horizontal="center" vertical="center" wrapText="1"/>
    </xf>
    <xf numFmtId="3" fontId="7" fillId="16" borderId="7" xfId="0" applyNumberFormat="1" applyFont="1" applyFill="1" applyBorder="1" applyAlignment="1">
      <alignment horizontal="right" vertical="center"/>
    </xf>
    <xf numFmtId="3" fontId="7" fillId="16" borderId="8" xfId="0" applyNumberFormat="1" applyFont="1" applyFill="1" applyBorder="1" applyAlignment="1">
      <alignment horizontal="right" vertical="center"/>
    </xf>
    <xf numFmtId="165" fontId="7" fillId="16" borderId="9" xfId="0" applyNumberFormat="1" applyFont="1" applyFill="1" applyBorder="1" applyAlignment="1">
      <alignment horizontal="right" vertical="center"/>
    </xf>
    <xf numFmtId="165" fontId="7" fillId="16" borderId="10" xfId="0" applyNumberFormat="1" applyFont="1" applyFill="1" applyBorder="1" applyAlignment="1">
      <alignment horizontal="right" vertical="center"/>
    </xf>
    <xf numFmtId="9" fontId="7" fillId="16" borderId="11" xfId="2" applyFont="1" applyFill="1" applyBorder="1" applyAlignment="1">
      <alignment horizontal="right" vertical="center"/>
    </xf>
    <xf numFmtId="9" fontId="7" fillId="16" borderId="12" xfId="2" applyFont="1" applyFill="1" applyBorder="1" applyAlignment="1">
      <alignment horizontal="right" vertical="center"/>
    </xf>
  </cellXfs>
  <cellStyles count="3">
    <cellStyle name="Comma" xfId="1" builtinId="3"/>
    <cellStyle name="Normal" xfId="0" builtinId="0"/>
    <cellStyle name="Percent" xfId="2" builtinId="5"/>
  </cellStyles>
  <dxfs count="32">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9" formatCode="&quot;₹&quot;\ #,##0;&quot;₹&quot;\ \-#,##0"/>
    </dxf>
    <dxf>
      <numFmt numFmtId="164" formatCode="_ * #,##0_ ;_ * \-#,##0_ ;_ * &quot;-&quot;??_ ;_ @_ "/>
    </dxf>
    <dxf>
      <font>
        <sz val="10"/>
      </font>
    </dxf>
    <dxf>
      <font>
        <sz val="10"/>
      </font>
    </dxf>
    <dxf>
      <font>
        <sz val="10"/>
      </font>
    </dxf>
    <dxf>
      <font>
        <sz val="10"/>
      </font>
    </dxf>
    <dxf>
      <font>
        <sz val="10"/>
      </font>
    </dxf>
    <dxf>
      <font>
        <sz val="10"/>
      </font>
    </dxf>
    <dxf>
      <font>
        <b/>
        <i val="0"/>
        <color theme="0"/>
      </font>
      <fill>
        <patternFill>
          <bgColor rgb="FF00863D"/>
        </patternFill>
      </fill>
    </dxf>
    <dxf>
      <font>
        <b/>
        <i val="0"/>
        <color theme="0"/>
      </font>
      <fill>
        <patternFill>
          <bgColor rgb="FFFF0000"/>
        </patternFill>
      </fill>
    </dxf>
    <dxf>
      <numFmt numFmtId="0" formatCode="General"/>
    </dxf>
    <dxf>
      <numFmt numFmtId="0" formatCode="General"/>
    </dxf>
    <dxf>
      <numFmt numFmtId="0" formatCode="General"/>
    </dxf>
    <dxf>
      <numFmt numFmtId="19" formatCode="dd/mm/yyyy"/>
    </dxf>
    <dxf>
      <font>
        <sz val="12"/>
        <color rgb="FF5F5F5F"/>
        <name val="Stencil"/>
        <family val="5"/>
        <scheme val="none"/>
      </font>
      <border>
        <bottom style="thin">
          <color theme="1"/>
        </bottom>
        <vertical/>
        <horizontal/>
      </border>
    </dxf>
    <dxf>
      <font>
        <u val="none"/>
        <sz val="12"/>
        <color rgb="FF5F5F5F"/>
        <name val="Stencil"/>
        <family val="5"/>
        <scheme val="none"/>
      </font>
      <border diagonalUp="0" diagonalDown="0">
        <left style="medium">
          <color theme="0" tint="-0.499984740745262"/>
        </left>
        <right style="medium">
          <color theme="0" tint="-0.499984740745262"/>
        </right>
        <top style="medium">
          <color theme="0" tint="-0.499984740745262"/>
        </top>
        <bottom style="medium">
          <color theme="0" tint="-0.499984740745262"/>
        </bottom>
        <vertical/>
        <horizontal/>
      </border>
    </dxf>
  </dxfs>
  <tableStyles count="1" defaultTableStyle="TableStyleMedium2" defaultPivotStyle="PivotStyleLight16">
    <tableStyle name="MySlicer" pivot="0" table="0" count="10" xr9:uid="{057FDA8B-7DAA-43CF-A357-A2DC43A883DF}">
      <tableStyleElement type="wholeTable" dxfId="31"/>
      <tableStyleElement type="headerRow" dxfId="30"/>
    </tableStyle>
  </tableStyles>
  <colors>
    <mruColors>
      <color rgb="FF253917"/>
      <color rgb="FF007635"/>
      <color rgb="FFFFCC00"/>
      <color rgb="FF5F5F5F"/>
      <color rgb="FFFF6600"/>
      <color rgb="FF00823B"/>
      <color rgb="FF00863D"/>
      <color rgb="FFFF823B"/>
    </mruColors>
  </colors>
  <extLst>
    <ext xmlns:x14="http://schemas.microsoft.com/office/spreadsheetml/2009/9/main" uri="{46F421CA-312F-682f-3DD2-61675219B42D}">
      <x14:dxfs count="8">
        <dxf>
          <font>
            <sz val="12"/>
            <color theme="1"/>
            <name val="Stencil"/>
            <family val="5"/>
            <scheme val="none"/>
          </font>
          <fill>
            <gradientFill degree="90">
              <stop position="0">
                <color theme="0" tint="-0.25098422193060094"/>
              </stop>
              <stop position="1">
                <color theme="0" tint="-0.34900967436750391"/>
              </stop>
            </gradientFill>
          </fill>
          <border>
            <left style="thin">
              <color rgb="FF999999"/>
            </left>
            <right style="thin">
              <color rgb="FF999999"/>
            </right>
            <top style="thin">
              <color rgb="FF999999"/>
            </top>
            <bottom style="thin">
              <color rgb="FF999999"/>
            </bottom>
            <vertical/>
            <horizontal/>
          </border>
        </dxf>
        <dxf>
          <font>
            <sz val="12"/>
            <color theme="1"/>
            <name val="Stencil"/>
            <family val="5"/>
            <scheme val="none"/>
          </font>
          <fill>
            <gradientFill degree="90">
              <stop position="0">
                <color theme="0" tint="-0.25098422193060094"/>
              </stop>
              <stop position="1">
                <color theme="0" tint="-0.34900967436750391"/>
              </stop>
            </gradientFill>
          </fill>
          <border>
            <left style="thin">
              <color rgb="FF999999"/>
            </left>
            <right style="thin">
              <color rgb="FF999999"/>
            </right>
            <top style="thin">
              <color rgb="FF999999"/>
            </top>
            <bottom style="thin">
              <color rgb="FF999999"/>
            </bottom>
            <vertical/>
            <horizontal/>
          </border>
        </dxf>
        <dxf>
          <font>
            <sz val="12"/>
            <color theme="1"/>
            <name val="Stencil"/>
            <family val="5"/>
            <scheme val="none"/>
          </font>
          <fill>
            <gradientFill degree="90">
              <stop position="0">
                <color theme="0" tint="-0.25098422193060094"/>
              </stop>
              <stop position="1">
                <color theme="0" tint="-0.34900967436750391"/>
              </stop>
            </gradientFill>
          </fill>
          <border>
            <left style="thin">
              <color rgb="FF999999"/>
            </left>
            <right style="thin">
              <color rgb="FF999999"/>
            </right>
            <top style="thin">
              <color rgb="FF999999"/>
            </top>
            <bottom style="thin">
              <color rgb="FF999999"/>
            </bottom>
            <vertical/>
            <horizontal/>
          </border>
        </dxf>
        <dxf>
          <font>
            <sz val="12"/>
            <color theme="1"/>
            <name val="Stencil"/>
            <family val="5"/>
            <scheme val="none"/>
          </font>
          <fill>
            <gradientFill degree="90">
              <stop position="0">
                <color theme="0" tint="-0.25098422193060094"/>
              </stop>
              <stop position="1">
                <color theme="0" tint="-0.34900967436750391"/>
              </stop>
            </gradientFill>
          </fill>
          <border>
            <left style="thin">
              <color rgb="FF999999"/>
            </left>
            <right style="thin">
              <color rgb="FF999999"/>
            </right>
            <top style="thin">
              <color rgb="FF999999"/>
            </top>
            <bottom style="thin">
              <color rgb="FF999999"/>
            </bottom>
            <vertical/>
            <horizontal/>
          </border>
        </dxf>
        <dxf>
          <font>
            <sz val="12"/>
            <color theme="1"/>
            <name val="Stencil"/>
            <family val="5"/>
            <scheme val="none"/>
          </font>
          <fill>
            <patternFill patternType="solid">
              <fgColor auto="1"/>
              <bgColor rgb="FF5F5F5F"/>
            </patternFill>
          </fill>
          <border diagonalUp="0" diagonalDown="0">
            <left/>
            <right/>
            <top/>
            <bottom/>
            <vertical/>
            <horizontal/>
          </border>
        </dxf>
        <dxf>
          <font>
            <sz val="12"/>
            <color theme="1"/>
            <name val="Stencil"/>
            <family val="5"/>
            <scheme val="none"/>
          </font>
          <fill>
            <patternFill>
              <fgColor auto="1"/>
              <bgColor rgb="FF5F5F5F"/>
            </patternFill>
          </fill>
          <border diagonalUp="0" diagonalDown="0">
            <left/>
            <right/>
            <top/>
            <bottom/>
            <vertical/>
            <horizontal/>
          </border>
        </dxf>
        <dxf>
          <font>
            <sz val="12"/>
            <color rgb="FF5F5F5F"/>
            <name val="Stencil"/>
            <family val="5"/>
            <scheme val="none"/>
          </font>
          <fill>
            <patternFill patternType="solid">
              <fgColor rgb="FFFFFFFF"/>
              <bgColor theme="0"/>
            </patternFill>
          </fill>
          <border>
            <left style="thin">
              <color rgb="FFE0E0E0"/>
            </left>
            <right style="thin">
              <color rgb="FFE0E0E0"/>
            </right>
            <top style="thin">
              <color rgb="FFE0E0E0"/>
            </top>
            <bottom style="thin">
              <color rgb="FFE0E0E0"/>
            </bottom>
            <vertical/>
            <horizontal/>
          </border>
        </dxf>
        <dxf>
          <font>
            <sz val="12"/>
            <color rgb="FF5F5F5F"/>
            <name val="Stencil"/>
            <family val="5"/>
            <scheme val="none"/>
          </font>
          <fill>
            <patternFill patternType="solid">
              <fgColor rgb="FFFFFFFF"/>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09C8-4EAC-96FA-101FD275B2C9}"/>
              </c:ext>
            </c:extLst>
          </c:dPt>
          <c:dPt>
            <c:idx val="1"/>
            <c:bubble3D val="0"/>
            <c:spPr>
              <a:solidFill>
                <a:schemeClr val="accent2"/>
              </a:solidFill>
              <a:ln w="31750">
                <a:gradFill>
                  <a:gsLst>
                    <a:gs pos="0">
                      <a:schemeClr val="bg1"/>
                    </a:gs>
                    <a:gs pos="100000">
                      <a:schemeClr val="tx1">
                        <a:lumMod val="50000"/>
                        <a:lumOff val="50000"/>
                      </a:schemeClr>
                    </a:gs>
                  </a:gsLst>
                  <a:lin ang="5400000" scaled="1"/>
                </a:gradFill>
              </a:ln>
              <a:effectLst/>
            </c:spPr>
            <c:extLst>
              <c:ext xmlns:c16="http://schemas.microsoft.com/office/drawing/2014/chart" uri="{C3380CC4-5D6E-409C-BE32-E72D297353CC}">
                <c16:uniqueId val="{00000003-09C8-4EAC-96FA-101FD275B2C9}"/>
              </c:ext>
            </c:extLst>
          </c:dPt>
          <c:dPt>
            <c:idx val="2"/>
            <c:bubble3D val="0"/>
            <c:spPr>
              <a:noFill/>
              <a:ln w="19050">
                <a:noFill/>
              </a:ln>
              <a:effectLst/>
            </c:spPr>
            <c:extLst>
              <c:ext xmlns:c16="http://schemas.microsoft.com/office/drawing/2014/chart" uri="{C3380CC4-5D6E-409C-BE32-E72D297353CC}">
                <c16:uniqueId val="{00000005-09C8-4EAC-96FA-101FD275B2C9}"/>
              </c:ext>
            </c:extLst>
          </c:dPt>
          <c:dPt>
            <c:idx val="3"/>
            <c:bubble3D val="0"/>
            <c:spPr>
              <a:noFill/>
              <a:ln w="19050">
                <a:noFill/>
              </a:ln>
              <a:effectLst/>
            </c:spPr>
            <c:extLst>
              <c:ext xmlns:c16="http://schemas.microsoft.com/office/drawing/2014/chart" uri="{C3380CC4-5D6E-409C-BE32-E72D297353CC}">
                <c16:uniqueId val="{00000007-09C8-4EAC-96FA-101FD275B2C9}"/>
              </c:ext>
            </c:extLst>
          </c:dPt>
          <c:cat>
            <c:strRef>
              <c:f>Workings!$I$3:$L$3</c:f>
              <c:strCache>
                <c:ptCount val="4"/>
                <c:pt idx="0">
                  <c:v>Supporting </c:v>
                </c:pt>
                <c:pt idx="1">
                  <c:v>Needle</c:v>
                </c:pt>
                <c:pt idx="2">
                  <c:v>Rest Area</c:v>
                </c:pt>
                <c:pt idx="3">
                  <c:v>Fixed Area</c:v>
                </c:pt>
              </c:strCache>
            </c:strRef>
          </c:cat>
          <c:val>
            <c:numRef>
              <c:f>Workings!$I$4:$L$4</c:f>
              <c:numCache>
                <c:formatCode>0%</c:formatCode>
                <c:ptCount val="4"/>
                <c:pt idx="0">
                  <c:v>0.5</c:v>
                </c:pt>
                <c:pt idx="1">
                  <c:v>0</c:v>
                </c:pt>
                <c:pt idx="2">
                  <c:v>0.5</c:v>
                </c:pt>
                <c:pt idx="3">
                  <c:v>1</c:v>
                </c:pt>
              </c:numCache>
            </c:numRef>
          </c:val>
          <c:extLst>
            <c:ext xmlns:c16="http://schemas.microsoft.com/office/drawing/2014/chart" uri="{C3380CC4-5D6E-409C-BE32-E72D297353CC}">
              <c16:uniqueId val="{00000008-09C8-4EAC-96FA-101FD275B2C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noFill/>
            <a:ln w="19050">
              <a:solidFill>
                <a:schemeClr val="bg1">
                  <a:lumMod val="95000"/>
                </a:schemeClr>
              </a:solidFill>
              <a:prstDash val="sysDot"/>
            </a:ln>
            <a:effectLst/>
          </c:spPr>
          <c:invertIfNegative val="0"/>
          <c:cat>
            <c:strRef>
              <c:f>Workings!$D$24:$D$27</c:f>
              <c:strCache>
                <c:ptCount val="4"/>
                <c:pt idx="0">
                  <c:v>Basundhara</c:v>
                </c:pt>
                <c:pt idx="1">
                  <c:v>Gulshan</c:v>
                </c:pt>
                <c:pt idx="2">
                  <c:v>Mirpur</c:v>
                </c:pt>
                <c:pt idx="3">
                  <c:v>Uttara</c:v>
                </c:pt>
              </c:strCache>
            </c:strRef>
          </c:cat>
          <c:val>
            <c:numRef>
              <c:f>Workings!$H$24:$H$27</c:f>
              <c:numCache>
                <c:formatCode>0%</c:formatCode>
                <c:ptCount val="4"/>
                <c:pt idx="0">
                  <c:v>1</c:v>
                </c:pt>
                <c:pt idx="1">
                  <c:v>0.31</c:v>
                </c:pt>
                <c:pt idx="2">
                  <c:v>0.12</c:v>
                </c:pt>
                <c:pt idx="3">
                  <c:v>0.43</c:v>
                </c:pt>
              </c:numCache>
            </c:numRef>
          </c:val>
          <c:extLst>
            <c:ext xmlns:c16="http://schemas.microsoft.com/office/drawing/2014/chart" uri="{C3380CC4-5D6E-409C-BE32-E72D297353CC}">
              <c16:uniqueId val="{00000000-ABB6-4BE5-85D0-86B940CD0C22}"/>
            </c:ext>
          </c:extLst>
        </c:ser>
        <c:ser>
          <c:idx val="1"/>
          <c:order val="1"/>
          <c:spPr>
            <a:blipFill>
              <a:blip xmlns:r="http://schemas.openxmlformats.org/officeDocument/2006/relationships" r:embed="rId3"/>
              <a:stretch>
                <a:fillRect/>
              </a:stretch>
            </a:blipFill>
            <a:ln>
              <a:noFill/>
            </a:ln>
            <a:effectLst/>
          </c:spPr>
          <c:invertIfNegative val="0"/>
          <c:dLbls>
            <c:dLbl>
              <c:idx val="0"/>
              <c:layout>
                <c:manualLayout>
                  <c:x val="0"/>
                  <c:y val="0.10307362027437425"/>
                </c:manualLayout>
              </c:layout>
              <c:tx>
                <c:rich>
                  <a:bodyPr/>
                  <a:lstStyle/>
                  <a:p>
                    <a:fld id="{35915836-979E-4FEC-8CA8-77DBD3A2E8B3}"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BB6-4BE5-85D0-86B940CD0C22}"/>
                </c:ext>
              </c:extLst>
            </c:dLbl>
            <c:dLbl>
              <c:idx val="1"/>
              <c:layout>
                <c:manualLayout>
                  <c:x val="0"/>
                  <c:y val="9.9748664781652494E-2"/>
                </c:manualLayout>
              </c:layout>
              <c:tx>
                <c:rich>
                  <a:bodyPr/>
                  <a:lstStyle/>
                  <a:p>
                    <a:fld id="{A00093EF-F7E5-4E50-8F1B-97EB11F91E79}"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BB6-4BE5-85D0-86B940CD0C22}"/>
                </c:ext>
              </c:extLst>
            </c:dLbl>
            <c:dLbl>
              <c:idx val="2"/>
              <c:layout>
                <c:manualLayout>
                  <c:x val="-7.754815018176107E-17"/>
                  <c:y val="9.9748664781652535E-2"/>
                </c:manualLayout>
              </c:layout>
              <c:tx>
                <c:rich>
                  <a:bodyPr/>
                  <a:lstStyle/>
                  <a:p>
                    <a:fld id="{21861CFA-E0F0-4ED4-BCC4-79833459F65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ABB6-4BE5-85D0-86B940CD0C22}"/>
                </c:ext>
              </c:extLst>
            </c:dLbl>
            <c:dLbl>
              <c:idx val="3"/>
              <c:layout>
                <c:manualLayout>
                  <c:x val="0"/>
                  <c:y val="0.10307362027437428"/>
                </c:manualLayout>
              </c:layout>
              <c:tx>
                <c:rich>
                  <a:bodyPr/>
                  <a:lstStyle/>
                  <a:p>
                    <a:fld id="{397F61B6-4D73-45F0-916A-D301BD68A2B1}"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ABB6-4BE5-85D0-86B940CD0C2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Workings!$D$24:$D$27</c:f>
              <c:strCache>
                <c:ptCount val="4"/>
                <c:pt idx="0">
                  <c:v>Basundhara</c:v>
                </c:pt>
                <c:pt idx="1">
                  <c:v>Gulshan</c:v>
                </c:pt>
                <c:pt idx="2">
                  <c:v>Mirpur</c:v>
                </c:pt>
                <c:pt idx="3">
                  <c:v>Uttara</c:v>
                </c:pt>
              </c:strCache>
            </c:strRef>
          </c:cat>
          <c:val>
            <c:numRef>
              <c:f>Workings!$I$24:$I$27</c:f>
              <c:numCache>
                <c:formatCode>0%</c:formatCode>
                <c:ptCount val="4"/>
                <c:pt idx="0">
                  <c:v>0.2</c:v>
                </c:pt>
                <c:pt idx="1">
                  <c:v>0.2</c:v>
                </c:pt>
                <c:pt idx="2">
                  <c:v>0.2</c:v>
                </c:pt>
                <c:pt idx="3">
                  <c:v>0.2</c:v>
                </c:pt>
              </c:numCache>
            </c:numRef>
          </c:val>
          <c:extLst>
            <c:ext xmlns:c15="http://schemas.microsoft.com/office/drawing/2012/chart" uri="{02D57815-91ED-43cb-92C2-25804820EDAC}">
              <c15:datalabelsRange>
                <c15:f>Workings!$J$24:$J$27</c15:f>
                <c15:dlblRangeCache>
                  <c:ptCount val="4"/>
                  <c:pt idx="0">
                    <c:v>368472</c:v>
                  </c:pt>
                  <c:pt idx="1">
                    <c:v>114226.32</c:v>
                  </c:pt>
                  <c:pt idx="2">
                    <c:v>44216.64</c:v>
                  </c:pt>
                  <c:pt idx="3">
                    <c:v>158442.96</c:v>
                  </c:pt>
                </c15:dlblRangeCache>
              </c15:datalabelsRange>
            </c:ext>
            <c:ext xmlns:c16="http://schemas.microsoft.com/office/drawing/2014/chart" uri="{C3380CC4-5D6E-409C-BE32-E72D297353CC}">
              <c16:uniqueId val="{00000005-ABB6-4BE5-85D0-86B940CD0C22}"/>
            </c:ext>
          </c:extLst>
        </c:ser>
        <c:dLbls>
          <c:showLegendKey val="0"/>
          <c:showVal val="0"/>
          <c:showCatName val="0"/>
          <c:showSerName val="0"/>
          <c:showPercent val="0"/>
          <c:showBubbleSize val="0"/>
        </c:dLbls>
        <c:gapWidth val="50"/>
        <c:overlap val="100"/>
        <c:axId val="189747679"/>
        <c:axId val="186772895"/>
      </c:barChart>
      <c:catAx>
        <c:axId val="189747679"/>
        <c:scaling>
          <c:orientation val="minMax"/>
        </c:scaling>
        <c:delete val="1"/>
        <c:axPos val="b"/>
        <c:numFmt formatCode="General" sourceLinked="1"/>
        <c:majorTickMark val="none"/>
        <c:minorTickMark val="none"/>
        <c:tickLblPos val="nextTo"/>
        <c:crossAx val="186772895"/>
        <c:crosses val="autoZero"/>
        <c:auto val="1"/>
        <c:lblAlgn val="ctr"/>
        <c:lblOffset val="100"/>
        <c:noMultiLvlLbl val="0"/>
      </c:catAx>
      <c:valAx>
        <c:axId val="186772895"/>
        <c:scaling>
          <c:orientation val="minMax"/>
          <c:max val="1.2"/>
        </c:scaling>
        <c:delete val="1"/>
        <c:axPos val="l"/>
        <c:numFmt formatCode="0%" sourceLinked="1"/>
        <c:majorTickMark val="none"/>
        <c:minorTickMark val="none"/>
        <c:tickLblPos val="nextTo"/>
        <c:crossAx val="189747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20"/>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4"/>
          <c:order val="0"/>
          <c:tx>
            <c:strRef>
              <c:f>Workings!$N$13</c:f>
              <c:strCache>
                <c:ptCount val="1"/>
                <c:pt idx="0">
                  <c:v>Bottom Cap</c:v>
                </c:pt>
              </c:strCache>
            </c:strRef>
          </c:tx>
          <c:spPr>
            <a:solidFill>
              <a:schemeClr val="bg1">
                <a:lumMod val="65000"/>
              </a:schemeClr>
            </a:solidFill>
            <a:ln>
              <a:noFill/>
            </a:ln>
            <a:effectLst/>
            <a:sp3d/>
          </c:spPr>
          <c:invertIfNegative val="0"/>
          <c:cat>
            <c:strRef>
              <c:f>Workings!$A$14:$A$17</c:f>
              <c:strCache>
                <c:ptCount val="4"/>
                <c:pt idx="0">
                  <c:v>Basundhara</c:v>
                </c:pt>
                <c:pt idx="1">
                  <c:v>Gulshan</c:v>
                </c:pt>
                <c:pt idx="2">
                  <c:v>Mirpur</c:v>
                </c:pt>
                <c:pt idx="3">
                  <c:v>Uttara</c:v>
                </c:pt>
              </c:strCache>
            </c:strRef>
          </c:cat>
          <c:val>
            <c:numRef>
              <c:f>Workings!$N$14:$N$17</c:f>
              <c:numCache>
                <c:formatCode>0%</c:formatCode>
                <c:ptCount val="4"/>
                <c:pt idx="0">
                  <c:v>0.1</c:v>
                </c:pt>
                <c:pt idx="1">
                  <c:v>0.1</c:v>
                </c:pt>
                <c:pt idx="2">
                  <c:v>0.1</c:v>
                </c:pt>
                <c:pt idx="3">
                  <c:v>0.1</c:v>
                </c:pt>
              </c:numCache>
            </c:numRef>
          </c:val>
          <c:extLst>
            <c:ext xmlns:c16="http://schemas.microsoft.com/office/drawing/2014/chart" uri="{C3380CC4-5D6E-409C-BE32-E72D297353CC}">
              <c16:uniqueId val="{00000000-63CB-4245-A43F-024924934893}"/>
            </c:ext>
          </c:extLst>
        </c:ser>
        <c:ser>
          <c:idx val="2"/>
          <c:order val="1"/>
          <c:tx>
            <c:strRef>
              <c:f>Workings!$L$13</c:f>
              <c:strCache>
                <c:ptCount val="1"/>
                <c:pt idx="0">
                  <c:v>Caption Area</c:v>
                </c:pt>
              </c:strCache>
            </c:strRef>
          </c:tx>
          <c:spPr>
            <a:solidFill>
              <a:schemeClr val="bg1">
                <a:lumMod val="95000"/>
              </a:schemeClr>
            </a:solidFill>
            <a:ln>
              <a:noFill/>
            </a:ln>
            <a:effectLst/>
            <a:sp3d/>
          </c:spPr>
          <c:invertIfNegative val="0"/>
          <c:dLbls>
            <c:dLbl>
              <c:idx val="0"/>
              <c:tx>
                <c:rich>
                  <a:bodyPr/>
                  <a:lstStyle/>
                  <a:p>
                    <a:fld id="{60A52794-52B5-4BA9-B9D8-C9464732DF91}"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3CB-4245-A43F-024924934893}"/>
                </c:ext>
              </c:extLst>
            </c:dLbl>
            <c:dLbl>
              <c:idx val="1"/>
              <c:tx>
                <c:rich>
                  <a:bodyPr/>
                  <a:lstStyle/>
                  <a:p>
                    <a:fld id="{DF661E39-B5AF-470B-B76B-734D223212A8}"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3CB-4245-A43F-024924934893}"/>
                </c:ext>
              </c:extLst>
            </c:dLbl>
            <c:dLbl>
              <c:idx val="2"/>
              <c:tx>
                <c:rich>
                  <a:bodyPr/>
                  <a:lstStyle/>
                  <a:p>
                    <a:fld id="{83662A18-E7EB-40F0-96C1-FF286DB27A3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3CB-4245-A43F-024924934893}"/>
                </c:ext>
              </c:extLst>
            </c:dLbl>
            <c:dLbl>
              <c:idx val="3"/>
              <c:tx>
                <c:rich>
                  <a:bodyPr/>
                  <a:lstStyle/>
                  <a:p>
                    <a:fld id="{EFDB5DB4-F4D8-4678-A3BB-B6DA72FFC57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3CB-4245-A43F-024924934893}"/>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Agency FB" panose="020B0503020202020204" pitchFamily="34" charset="0"/>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Workings!$A$14:$A$17</c:f>
              <c:strCache>
                <c:ptCount val="4"/>
                <c:pt idx="0">
                  <c:v>Basundhara</c:v>
                </c:pt>
                <c:pt idx="1">
                  <c:v>Gulshan</c:v>
                </c:pt>
                <c:pt idx="2">
                  <c:v>Mirpur</c:v>
                </c:pt>
                <c:pt idx="3">
                  <c:v>Uttara</c:v>
                </c:pt>
              </c:strCache>
            </c:strRef>
          </c:cat>
          <c:val>
            <c:numRef>
              <c:f>Workings!$L$14:$L$17</c:f>
              <c:numCache>
                <c:formatCode>0%</c:formatCode>
                <c:ptCount val="4"/>
                <c:pt idx="0">
                  <c:v>0.3</c:v>
                </c:pt>
                <c:pt idx="1">
                  <c:v>0.3</c:v>
                </c:pt>
                <c:pt idx="2">
                  <c:v>0.3</c:v>
                </c:pt>
                <c:pt idx="3">
                  <c:v>0.3</c:v>
                </c:pt>
              </c:numCache>
            </c:numRef>
          </c:val>
          <c:extLst>
            <c:ext xmlns:c15="http://schemas.microsoft.com/office/drawing/2012/chart" uri="{02D57815-91ED-43cb-92C2-25804820EDAC}">
              <c15:datalabelsRange>
                <c15:f>Workings!$J$14:$J$17</c15:f>
                <c15:dlblRangeCache>
                  <c:ptCount val="4"/>
                  <c:pt idx="0">
                    <c:v>68%</c:v>
                  </c:pt>
                  <c:pt idx="1">
                    <c:v>42%</c:v>
                  </c:pt>
                  <c:pt idx="2">
                    <c:v>35%</c:v>
                  </c:pt>
                  <c:pt idx="3">
                    <c:v>33%</c:v>
                  </c:pt>
                </c15:dlblRangeCache>
              </c15:datalabelsRange>
            </c:ext>
            <c:ext xmlns:c16="http://schemas.microsoft.com/office/drawing/2014/chart" uri="{C3380CC4-5D6E-409C-BE32-E72D297353CC}">
              <c16:uniqueId val="{00000005-63CB-4245-A43F-024924934893}"/>
            </c:ext>
          </c:extLst>
        </c:ser>
        <c:ser>
          <c:idx val="0"/>
          <c:order val="2"/>
          <c:tx>
            <c:strRef>
              <c:f>Workings!$J$13</c:f>
              <c:strCache>
                <c:ptCount val="1"/>
                <c:pt idx="0">
                  <c:v>Supporting Used Data</c:v>
                </c:pt>
              </c:strCache>
            </c:strRef>
          </c:tx>
          <c:spPr>
            <a:solidFill>
              <a:schemeClr val="bg1">
                <a:lumMod val="95000"/>
                <a:alpha val="80000"/>
              </a:schemeClr>
            </a:solidFill>
            <a:ln>
              <a:noFill/>
            </a:ln>
            <a:effectLst/>
            <a:sp3d/>
          </c:spPr>
          <c:invertIfNegative val="0"/>
          <c:dPt>
            <c:idx val="0"/>
            <c:invertIfNegative val="0"/>
            <c:bubble3D val="0"/>
            <c:spPr>
              <a:solidFill>
                <a:srgbClr val="00B0F0">
                  <a:alpha val="80000"/>
                </a:srgbClr>
              </a:solidFill>
              <a:ln>
                <a:noFill/>
              </a:ln>
              <a:effectLst/>
              <a:sp3d/>
            </c:spPr>
            <c:extLst>
              <c:ext xmlns:c16="http://schemas.microsoft.com/office/drawing/2014/chart" uri="{C3380CC4-5D6E-409C-BE32-E72D297353CC}">
                <c16:uniqueId val="{00000007-63CB-4245-A43F-024924934893}"/>
              </c:ext>
            </c:extLst>
          </c:dPt>
          <c:dPt>
            <c:idx val="1"/>
            <c:invertIfNegative val="0"/>
            <c:bubble3D val="0"/>
            <c:spPr>
              <a:solidFill>
                <a:srgbClr val="00B050">
                  <a:alpha val="80000"/>
                </a:srgbClr>
              </a:solidFill>
              <a:ln>
                <a:noFill/>
              </a:ln>
              <a:effectLst/>
              <a:sp3d/>
            </c:spPr>
            <c:extLst>
              <c:ext xmlns:c16="http://schemas.microsoft.com/office/drawing/2014/chart" uri="{C3380CC4-5D6E-409C-BE32-E72D297353CC}">
                <c16:uniqueId val="{00000009-63CB-4245-A43F-024924934893}"/>
              </c:ext>
            </c:extLst>
          </c:dPt>
          <c:dPt>
            <c:idx val="2"/>
            <c:invertIfNegative val="0"/>
            <c:bubble3D val="0"/>
            <c:spPr>
              <a:solidFill>
                <a:srgbClr val="FF6600">
                  <a:alpha val="80000"/>
                </a:srgbClr>
              </a:solidFill>
              <a:ln>
                <a:noFill/>
              </a:ln>
              <a:effectLst/>
              <a:sp3d/>
            </c:spPr>
            <c:extLst>
              <c:ext xmlns:c16="http://schemas.microsoft.com/office/drawing/2014/chart" uri="{C3380CC4-5D6E-409C-BE32-E72D297353CC}">
                <c16:uniqueId val="{0000000B-63CB-4245-A43F-024924934893}"/>
              </c:ext>
            </c:extLst>
          </c:dPt>
          <c:dPt>
            <c:idx val="3"/>
            <c:invertIfNegative val="0"/>
            <c:bubble3D val="0"/>
            <c:spPr>
              <a:solidFill>
                <a:srgbClr val="FF0000">
                  <a:alpha val="80000"/>
                </a:srgbClr>
              </a:solidFill>
              <a:ln>
                <a:noFill/>
              </a:ln>
              <a:effectLst/>
              <a:sp3d/>
            </c:spPr>
            <c:extLst>
              <c:ext xmlns:c16="http://schemas.microsoft.com/office/drawing/2014/chart" uri="{C3380CC4-5D6E-409C-BE32-E72D297353CC}">
                <c16:uniqueId val="{0000000D-63CB-4245-A43F-024924934893}"/>
              </c:ext>
            </c:extLst>
          </c:dPt>
          <c:cat>
            <c:strRef>
              <c:f>Workings!$A$14:$A$17</c:f>
              <c:strCache>
                <c:ptCount val="4"/>
                <c:pt idx="0">
                  <c:v>Basundhara</c:v>
                </c:pt>
                <c:pt idx="1">
                  <c:v>Gulshan</c:v>
                </c:pt>
                <c:pt idx="2">
                  <c:v>Mirpur</c:v>
                </c:pt>
                <c:pt idx="3">
                  <c:v>Uttara</c:v>
                </c:pt>
              </c:strCache>
            </c:strRef>
          </c:cat>
          <c:val>
            <c:numRef>
              <c:f>Workings!$J$14:$J$17</c:f>
              <c:numCache>
                <c:formatCode>0%</c:formatCode>
                <c:ptCount val="4"/>
                <c:pt idx="0">
                  <c:v>0.68</c:v>
                </c:pt>
                <c:pt idx="1">
                  <c:v>0.42</c:v>
                </c:pt>
                <c:pt idx="2">
                  <c:v>0.35</c:v>
                </c:pt>
                <c:pt idx="3">
                  <c:v>0.33</c:v>
                </c:pt>
              </c:numCache>
            </c:numRef>
          </c:val>
          <c:extLst>
            <c:ext xmlns:c16="http://schemas.microsoft.com/office/drawing/2014/chart" uri="{C3380CC4-5D6E-409C-BE32-E72D297353CC}">
              <c16:uniqueId val="{0000000E-63CB-4245-A43F-024924934893}"/>
            </c:ext>
          </c:extLst>
        </c:ser>
        <c:ser>
          <c:idx val="1"/>
          <c:order val="3"/>
          <c:tx>
            <c:strRef>
              <c:f>Workings!$K$13</c:f>
              <c:strCache>
                <c:ptCount val="1"/>
                <c:pt idx="0">
                  <c:v>Transparent Area</c:v>
                </c:pt>
              </c:strCache>
            </c:strRef>
          </c:tx>
          <c:spPr>
            <a:solidFill>
              <a:schemeClr val="bg1">
                <a:lumMod val="95000"/>
                <a:alpha val="20000"/>
              </a:schemeClr>
            </a:solidFill>
            <a:ln>
              <a:noFill/>
            </a:ln>
            <a:effectLst/>
            <a:sp3d/>
          </c:spPr>
          <c:invertIfNegative val="0"/>
          <c:cat>
            <c:strRef>
              <c:f>Workings!$A$14:$A$17</c:f>
              <c:strCache>
                <c:ptCount val="4"/>
                <c:pt idx="0">
                  <c:v>Basundhara</c:v>
                </c:pt>
                <c:pt idx="1">
                  <c:v>Gulshan</c:v>
                </c:pt>
                <c:pt idx="2">
                  <c:v>Mirpur</c:v>
                </c:pt>
                <c:pt idx="3">
                  <c:v>Uttara</c:v>
                </c:pt>
              </c:strCache>
            </c:strRef>
          </c:cat>
          <c:val>
            <c:numRef>
              <c:f>Workings!$K$14:$K$17</c:f>
              <c:numCache>
                <c:formatCode>0%</c:formatCode>
                <c:ptCount val="4"/>
                <c:pt idx="0">
                  <c:v>0.31999999999999995</c:v>
                </c:pt>
                <c:pt idx="1">
                  <c:v>0.58000000000000007</c:v>
                </c:pt>
                <c:pt idx="2">
                  <c:v>0.65</c:v>
                </c:pt>
                <c:pt idx="3">
                  <c:v>0.66999999999999993</c:v>
                </c:pt>
              </c:numCache>
            </c:numRef>
          </c:val>
          <c:extLst>
            <c:ext xmlns:c16="http://schemas.microsoft.com/office/drawing/2014/chart" uri="{C3380CC4-5D6E-409C-BE32-E72D297353CC}">
              <c16:uniqueId val="{0000000F-63CB-4245-A43F-024924934893}"/>
            </c:ext>
          </c:extLst>
        </c:ser>
        <c:ser>
          <c:idx val="3"/>
          <c:order val="4"/>
          <c:tx>
            <c:strRef>
              <c:f>Workings!$M$13</c:f>
              <c:strCache>
                <c:ptCount val="1"/>
                <c:pt idx="0">
                  <c:v>Top Cap</c:v>
                </c:pt>
              </c:strCache>
            </c:strRef>
          </c:tx>
          <c:spPr>
            <a:solidFill>
              <a:schemeClr val="bg1">
                <a:lumMod val="95000"/>
              </a:schemeClr>
            </a:solidFill>
            <a:ln>
              <a:noFill/>
            </a:ln>
            <a:effectLst/>
            <a:sp3d/>
          </c:spPr>
          <c:invertIfNegative val="0"/>
          <c:cat>
            <c:strRef>
              <c:f>Workings!$A$14:$A$17</c:f>
              <c:strCache>
                <c:ptCount val="4"/>
                <c:pt idx="0">
                  <c:v>Basundhara</c:v>
                </c:pt>
                <c:pt idx="1">
                  <c:v>Gulshan</c:v>
                </c:pt>
                <c:pt idx="2">
                  <c:v>Mirpur</c:v>
                </c:pt>
                <c:pt idx="3">
                  <c:v>Uttara</c:v>
                </c:pt>
              </c:strCache>
            </c:strRef>
          </c:cat>
          <c:val>
            <c:numRef>
              <c:f>Workings!$M$14:$M$17</c:f>
              <c:numCache>
                <c:formatCode>0%</c:formatCode>
                <c:ptCount val="4"/>
                <c:pt idx="0">
                  <c:v>0.1</c:v>
                </c:pt>
                <c:pt idx="1">
                  <c:v>0.1</c:v>
                </c:pt>
                <c:pt idx="2">
                  <c:v>0.1</c:v>
                </c:pt>
                <c:pt idx="3">
                  <c:v>0.1</c:v>
                </c:pt>
              </c:numCache>
            </c:numRef>
          </c:val>
          <c:extLst>
            <c:ext xmlns:c16="http://schemas.microsoft.com/office/drawing/2014/chart" uri="{C3380CC4-5D6E-409C-BE32-E72D297353CC}">
              <c16:uniqueId val="{00000010-63CB-4245-A43F-024924934893}"/>
            </c:ext>
          </c:extLst>
        </c:ser>
        <c:dLbls>
          <c:showLegendKey val="0"/>
          <c:showVal val="0"/>
          <c:showCatName val="0"/>
          <c:showSerName val="0"/>
          <c:showPercent val="0"/>
          <c:showBubbleSize val="0"/>
        </c:dLbls>
        <c:gapWidth val="50"/>
        <c:gapDepth val="0"/>
        <c:shape val="cylinder"/>
        <c:axId val="1979339552"/>
        <c:axId val="1127170896"/>
        <c:axId val="0"/>
      </c:bar3DChart>
      <c:catAx>
        <c:axId val="1979339552"/>
        <c:scaling>
          <c:orientation val="minMax"/>
        </c:scaling>
        <c:delete val="1"/>
        <c:axPos val="b"/>
        <c:numFmt formatCode="General" sourceLinked="1"/>
        <c:majorTickMark val="none"/>
        <c:minorTickMark val="none"/>
        <c:tickLblPos val="nextTo"/>
        <c:crossAx val="1127170896"/>
        <c:crosses val="autoZero"/>
        <c:auto val="1"/>
        <c:lblAlgn val="ctr"/>
        <c:lblOffset val="100"/>
        <c:noMultiLvlLbl val="0"/>
      </c:catAx>
      <c:valAx>
        <c:axId val="1127170896"/>
        <c:scaling>
          <c:orientation val="minMax"/>
          <c:max val="1.5"/>
          <c:min val="0"/>
        </c:scaling>
        <c:delete val="1"/>
        <c:axPos val="l"/>
        <c:numFmt formatCode="0%" sourceLinked="1"/>
        <c:majorTickMark val="none"/>
        <c:minorTickMark val="none"/>
        <c:tickLblPos val="nextTo"/>
        <c:crossAx val="1979339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3-3A0B-4934-8CAE-D0BAB58E0E2B}"/>
              </c:ext>
            </c:extLst>
          </c:dPt>
          <c:dPt>
            <c:idx val="1"/>
            <c:bubble3D val="0"/>
            <c:spPr>
              <a:solidFill>
                <a:schemeClr val="accent2"/>
              </a:solidFill>
              <a:ln w="31750">
                <a:gradFill>
                  <a:gsLst>
                    <a:gs pos="0">
                      <a:schemeClr val="bg1"/>
                    </a:gs>
                    <a:gs pos="100000">
                      <a:schemeClr val="tx1">
                        <a:lumMod val="50000"/>
                        <a:lumOff val="50000"/>
                      </a:schemeClr>
                    </a:gs>
                  </a:gsLst>
                  <a:lin ang="5400000" scaled="1"/>
                </a:gradFill>
              </a:ln>
              <a:effectLst/>
            </c:spPr>
            <c:extLst>
              <c:ext xmlns:c16="http://schemas.microsoft.com/office/drawing/2014/chart" uri="{C3380CC4-5D6E-409C-BE32-E72D297353CC}">
                <c16:uniqueId val="{00000004-3A0B-4934-8CAE-D0BAB58E0E2B}"/>
              </c:ext>
            </c:extLst>
          </c:dPt>
          <c:dPt>
            <c:idx val="2"/>
            <c:bubble3D val="0"/>
            <c:spPr>
              <a:noFill/>
              <a:ln w="19050">
                <a:noFill/>
              </a:ln>
              <a:effectLst/>
            </c:spPr>
            <c:extLst>
              <c:ext xmlns:c16="http://schemas.microsoft.com/office/drawing/2014/chart" uri="{C3380CC4-5D6E-409C-BE32-E72D297353CC}">
                <c16:uniqueId val="{00000002-3A0B-4934-8CAE-D0BAB58E0E2B}"/>
              </c:ext>
            </c:extLst>
          </c:dPt>
          <c:dPt>
            <c:idx val="3"/>
            <c:bubble3D val="0"/>
            <c:spPr>
              <a:noFill/>
              <a:ln w="19050">
                <a:noFill/>
              </a:ln>
              <a:effectLst/>
            </c:spPr>
            <c:extLst>
              <c:ext xmlns:c16="http://schemas.microsoft.com/office/drawing/2014/chart" uri="{C3380CC4-5D6E-409C-BE32-E72D297353CC}">
                <c16:uniqueId val="{00000001-3A0B-4934-8CAE-D0BAB58E0E2B}"/>
              </c:ext>
            </c:extLst>
          </c:dPt>
          <c:cat>
            <c:strRef>
              <c:f>Workings!$I$3:$L$3</c:f>
              <c:strCache>
                <c:ptCount val="4"/>
                <c:pt idx="0">
                  <c:v>Supporting </c:v>
                </c:pt>
                <c:pt idx="1">
                  <c:v>Needle</c:v>
                </c:pt>
                <c:pt idx="2">
                  <c:v>Rest Area</c:v>
                </c:pt>
                <c:pt idx="3">
                  <c:v>Fixed Area</c:v>
                </c:pt>
              </c:strCache>
            </c:strRef>
          </c:cat>
          <c:val>
            <c:numRef>
              <c:f>Workings!$I$4:$L$4</c:f>
              <c:numCache>
                <c:formatCode>0%</c:formatCode>
                <c:ptCount val="4"/>
                <c:pt idx="0">
                  <c:v>0.5</c:v>
                </c:pt>
                <c:pt idx="1">
                  <c:v>0</c:v>
                </c:pt>
                <c:pt idx="2">
                  <c:v>0.5</c:v>
                </c:pt>
                <c:pt idx="3">
                  <c:v>1</c:v>
                </c:pt>
              </c:numCache>
            </c:numRef>
          </c:val>
          <c:extLst>
            <c:ext xmlns:c16="http://schemas.microsoft.com/office/drawing/2014/chart" uri="{C3380CC4-5D6E-409C-BE32-E72D297353CC}">
              <c16:uniqueId val="{00000000-3A0B-4934-8CAE-D0BAB58E0E2B}"/>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hyperlink" Target="http://www.clker.com/clipart-a-cartoon-moon-rocket.html" TargetMode="External"/><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13</xdr:col>
      <xdr:colOff>1112</xdr:colOff>
      <xdr:row>18</xdr:row>
      <xdr:rowOff>21603</xdr:rowOff>
    </xdr:from>
    <xdr:to>
      <xdr:col>14</xdr:col>
      <xdr:colOff>10584</xdr:colOff>
      <xdr:row>25</xdr:row>
      <xdr:rowOff>155513</xdr:rowOff>
    </xdr:to>
    <mc:AlternateContent xmlns:mc="http://schemas.openxmlformats.org/markup-compatibility/2006" xmlns:a14="http://schemas.microsoft.com/office/drawing/2010/main">
      <mc:Choice Requires="a14">
        <xdr:graphicFrame macro="">
          <xdr:nvGraphicFramePr>
            <xdr:cNvPr id="2" name="Month Name">
              <a:extLst>
                <a:ext uri="{FF2B5EF4-FFF2-40B4-BE49-F238E27FC236}">
                  <a16:creationId xmlns:a16="http://schemas.microsoft.com/office/drawing/2014/main" id="{85C7C56B-C5D5-4DC5-91A4-76C487B6D236}"/>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9817465" y="3506632"/>
              <a:ext cx="2900590" cy="14898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13</xdr:col>
      <xdr:colOff>13375</xdr:colOff>
      <xdr:row>15</xdr:row>
      <xdr:rowOff>45695</xdr:rowOff>
    </xdr:from>
    <xdr:to>
      <xdr:col>14</xdr:col>
      <xdr:colOff>0</xdr:colOff>
      <xdr:row>17</xdr:row>
      <xdr:rowOff>128058</xdr:rowOff>
    </xdr:to>
    <xdr:sp macro="[0]!Update_Data" textlink="">
      <xdr:nvSpPr>
        <xdr:cNvPr id="3" name="Rectangle 2">
          <a:extLst>
            <a:ext uri="{FF2B5EF4-FFF2-40B4-BE49-F238E27FC236}">
              <a16:creationId xmlns:a16="http://schemas.microsoft.com/office/drawing/2014/main" id="{EB0227A5-FB4A-421A-833C-14825F50D7F6}"/>
            </a:ext>
          </a:extLst>
        </xdr:cNvPr>
        <xdr:cNvSpPr>
          <a:spLocks noChangeAspect="1"/>
        </xdr:cNvSpPr>
      </xdr:nvSpPr>
      <xdr:spPr>
        <a:xfrm>
          <a:off x="9852700" y="2956112"/>
          <a:ext cx="2872700" cy="463363"/>
        </a:xfrm>
        <a:prstGeom prst="rect">
          <a:avLst/>
        </a:prstGeom>
        <a:solidFill>
          <a:schemeClr val="accent6">
            <a:lumMod val="50000"/>
          </a:schemeClr>
        </a:solidFill>
        <a:ln w="19050">
          <a:solidFill>
            <a:schemeClr val="bg1"/>
          </a:solidFill>
        </a:ln>
        <a:effectLst>
          <a:innerShdw blurRad="114300">
            <a:prstClr val="black"/>
          </a:innerShd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2000" b="1">
              <a:solidFill>
                <a:schemeClr val="bg1"/>
              </a:solidFill>
              <a:latin typeface="Cambria" panose="02040503050406030204" pitchFamily="18" charset="0"/>
              <a:ea typeface="Cambria" panose="02040503050406030204" pitchFamily="18" charset="0"/>
            </a:rPr>
            <a:t>SHOW</a:t>
          </a:r>
          <a:r>
            <a:rPr lang="en-IN" sz="2000" b="1" baseline="0">
              <a:solidFill>
                <a:schemeClr val="bg1"/>
              </a:solidFill>
              <a:latin typeface="Cambria" panose="02040503050406030204" pitchFamily="18" charset="0"/>
              <a:ea typeface="Cambria" panose="02040503050406030204" pitchFamily="18" charset="0"/>
            </a:rPr>
            <a:t> UPDATE</a:t>
          </a:r>
          <a:endParaRPr lang="en-IN" sz="2000" b="1">
            <a:solidFill>
              <a:schemeClr val="bg1"/>
            </a:solidFill>
            <a:latin typeface="Cambria" panose="02040503050406030204" pitchFamily="18" charset="0"/>
            <a:ea typeface="Cambria" panose="02040503050406030204" pitchFamily="18" charset="0"/>
          </a:endParaRPr>
        </a:p>
      </xdr:txBody>
    </xdr:sp>
    <xdr:clientData/>
  </xdr:twoCellAnchor>
  <xdr:twoCellAnchor editAs="absolute">
    <xdr:from>
      <xdr:col>4</xdr:col>
      <xdr:colOff>131488</xdr:colOff>
      <xdr:row>1</xdr:row>
      <xdr:rowOff>110068</xdr:rowOff>
    </xdr:from>
    <xdr:to>
      <xdr:col>5</xdr:col>
      <xdr:colOff>466199</xdr:colOff>
      <xdr:row>6</xdr:row>
      <xdr:rowOff>104146</xdr:rowOff>
    </xdr:to>
    <xdr:sp macro="" textlink="">
      <xdr:nvSpPr>
        <xdr:cNvPr id="5" name="Freeform 1">
          <a:extLst>
            <a:ext uri="{FF2B5EF4-FFF2-40B4-BE49-F238E27FC236}">
              <a16:creationId xmlns:a16="http://schemas.microsoft.com/office/drawing/2014/main" id="{4ACB908F-FFBE-42F0-B822-99700C03C698}"/>
            </a:ext>
          </a:extLst>
        </xdr:cNvPr>
        <xdr:cNvSpPr>
          <a:spLocks noChangeAspect="1"/>
        </xdr:cNvSpPr>
      </xdr:nvSpPr>
      <xdr:spPr>
        <a:xfrm>
          <a:off x="2760388" y="300568"/>
          <a:ext cx="940078" cy="946578"/>
        </a:xfrm>
        <a:custGeom>
          <a:avLst/>
          <a:gdLst/>
          <a:ahLst/>
          <a:cxnLst/>
          <a:rect l="0" t="0" r="0" b="0"/>
          <a:pathLst>
            <a:path w="669833" h="677616">
              <a:moveTo>
                <a:pt x="294680" y="627828"/>
              </a:moveTo>
              <a:lnTo>
                <a:pt x="270777" y="629117"/>
              </a:lnTo>
              <a:lnTo>
                <a:pt x="254333" y="649134"/>
              </a:lnTo>
              <a:lnTo>
                <a:pt x="236298" y="639527"/>
              </a:lnTo>
              <a:lnTo>
                <a:pt x="220811" y="677615"/>
              </a:lnTo>
              <a:lnTo>
                <a:pt x="220811" y="677615"/>
              </a:lnTo>
              <a:lnTo>
                <a:pt x="184582" y="655374"/>
              </a:lnTo>
              <a:lnTo>
                <a:pt x="172563" y="637381"/>
              </a:lnTo>
              <a:lnTo>
                <a:pt x="212063" y="600037"/>
              </a:lnTo>
              <a:lnTo>
                <a:pt x="209369" y="584070"/>
              </a:lnTo>
              <a:lnTo>
                <a:pt x="175032" y="596971"/>
              </a:lnTo>
              <a:lnTo>
                <a:pt x="164853" y="613621"/>
              </a:lnTo>
              <a:lnTo>
                <a:pt x="139078" y="623038"/>
              </a:lnTo>
              <a:lnTo>
                <a:pt x="118047" y="599977"/>
              </a:lnTo>
              <a:lnTo>
                <a:pt x="118047" y="599977"/>
              </a:lnTo>
              <a:lnTo>
                <a:pt x="129356" y="569679"/>
              </a:lnTo>
              <a:lnTo>
                <a:pt x="127930" y="542568"/>
              </a:lnTo>
              <a:lnTo>
                <a:pt x="152449" y="501001"/>
              </a:lnTo>
              <a:lnTo>
                <a:pt x="152719" y="471285"/>
              </a:lnTo>
              <a:lnTo>
                <a:pt x="166625" y="438332"/>
              </a:lnTo>
              <a:lnTo>
                <a:pt x="148495" y="304398"/>
              </a:lnTo>
              <a:lnTo>
                <a:pt x="123354" y="289620"/>
              </a:lnTo>
              <a:lnTo>
                <a:pt x="121503" y="254488"/>
              </a:lnTo>
              <a:lnTo>
                <a:pt x="105407" y="236715"/>
              </a:lnTo>
              <a:lnTo>
                <a:pt x="114843" y="206528"/>
              </a:lnTo>
              <a:lnTo>
                <a:pt x="78485" y="178748"/>
              </a:lnTo>
              <a:lnTo>
                <a:pt x="72935" y="160420"/>
              </a:lnTo>
              <a:lnTo>
                <a:pt x="44394" y="158891"/>
              </a:lnTo>
              <a:lnTo>
                <a:pt x="29490" y="119413"/>
              </a:lnTo>
              <a:lnTo>
                <a:pt x="0" y="99307"/>
              </a:lnTo>
              <a:lnTo>
                <a:pt x="19463" y="50000"/>
              </a:lnTo>
              <a:lnTo>
                <a:pt x="16938" y="1333"/>
              </a:lnTo>
              <a:lnTo>
                <a:pt x="16938" y="1333"/>
              </a:lnTo>
              <a:lnTo>
                <a:pt x="51840" y="2535"/>
              </a:lnTo>
              <a:lnTo>
                <a:pt x="65323" y="14910"/>
              </a:lnTo>
              <a:lnTo>
                <a:pt x="74730" y="63218"/>
              </a:lnTo>
              <a:lnTo>
                <a:pt x="126285" y="92708"/>
              </a:lnTo>
              <a:lnTo>
                <a:pt x="146969" y="67463"/>
              </a:lnTo>
              <a:lnTo>
                <a:pt x="188861" y="78820"/>
              </a:lnTo>
              <a:lnTo>
                <a:pt x="216795" y="69276"/>
              </a:lnTo>
              <a:lnTo>
                <a:pt x="216795" y="69276"/>
              </a:lnTo>
              <a:lnTo>
                <a:pt x="245426" y="72769"/>
              </a:lnTo>
              <a:lnTo>
                <a:pt x="285778" y="97761"/>
              </a:lnTo>
              <a:lnTo>
                <a:pt x="345242" y="102575"/>
              </a:lnTo>
              <a:lnTo>
                <a:pt x="361005" y="72022"/>
              </a:lnTo>
              <a:lnTo>
                <a:pt x="378085" y="65548"/>
              </a:lnTo>
              <a:lnTo>
                <a:pt x="404976" y="37396"/>
              </a:lnTo>
              <a:lnTo>
                <a:pt x="396926" y="16204"/>
              </a:lnTo>
              <a:lnTo>
                <a:pt x="396926" y="16204"/>
              </a:lnTo>
              <a:lnTo>
                <a:pt x="444181" y="0"/>
              </a:lnTo>
              <a:lnTo>
                <a:pt x="470548" y="4066"/>
              </a:lnTo>
              <a:lnTo>
                <a:pt x="484845" y="21884"/>
              </a:lnTo>
              <a:lnTo>
                <a:pt x="514431" y="9658"/>
              </a:lnTo>
              <a:lnTo>
                <a:pt x="536972" y="18955"/>
              </a:lnTo>
              <a:lnTo>
                <a:pt x="553593" y="45191"/>
              </a:lnTo>
              <a:lnTo>
                <a:pt x="570375" y="33673"/>
              </a:lnTo>
              <a:lnTo>
                <a:pt x="570375" y="33673"/>
              </a:lnTo>
              <a:lnTo>
                <a:pt x="648872" y="66436"/>
              </a:lnTo>
              <a:lnTo>
                <a:pt x="659249" y="63324"/>
              </a:lnTo>
              <a:lnTo>
                <a:pt x="669832" y="127642"/>
              </a:lnTo>
              <a:lnTo>
                <a:pt x="666657" y="192253"/>
              </a:lnTo>
              <a:lnTo>
                <a:pt x="666657" y="192253"/>
              </a:lnTo>
              <a:lnTo>
                <a:pt x="619947" y="170766"/>
              </a:lnTo>
              <a:lnTo>
                <a:pt x="606669" y="171523"/>
              </a:lnTo>
              <a:lnTo>
                <a:pt x="581937" y="197089"/>
              </a:lnTo>
              <a:lnTo>
                <a:pt x="588052" y="231977"/>
              </a:lnTo>
              <a:lnTo>
                <a:pt x="514129" y="233129"/>
              </a:lnTo>
              <a:lnTo>
                <a:pt x="505767" y="206921"/>
              </a:lnTo>
              <a:lnTo>
                <a:pt x="493347" y="255937"/>
              </a:lnTo>
              <a:lnTo>
                <a:pt x="470723" y="278845"/>
              </a:lnTo>
              <a:lnTo>
                <a:pt x="445988" y="272166"/>
              </a:lnTo>
              <a:lnTo>
                <a:pt x="352708" y="323110"/>
              </a:lnTo>
              <a:lnTo>
                <a:pt x="348181" y="358090"/>
              </a:lnTo>
              <a:lnTo>
                <a:pt x="355205" y="368781"/>
              </a:lnTo>
              <a:lnTo>
                <a:pt x="345293" y="423187"/>
              </a:lnTo>
              <a:lnTo>
                <a:pt x="364047" y="446327"/>
              </a:lnTo>
              <a:lnTo>
                <a:pt x="335456" y="445371"/>
              </a:lnTo>
              <a:lnTo>
                <a:pt x="329904" y="461783"/>
              </a:lnTo>
              <a:lnTo>
                <a:pt x="338818" y="507112"/>
              </a:lnTo>
              <a:lnTo>
                <a:pt x="338818" y="507112"/>
              </a:lnTo>
              <a:lnTo>
                <a:pt x="318520" y="540438"/>
              </a:lnTo>
              <a:lnTo>
                <a:pt x="302843" y="616813"/>
              </a:lnTo>
              <a:close/>
            </a:path>
          </a:pathLst>
        </a:custGeom>
        <a:solidFill>
          <a:srgbClr val="FF66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72000" tIns="468000" rtlCol="0" anchor="ctr"/>
        <a:lstStyle/>
        <a:p>
          <a:pPr algn="ctr"/>
          <a:r>
            <a:rPr lang="en-IN" sz="900" b="0">
              <a:solidFill>
                <a:schemeClr val="bg1"/>
              </a:solidFill>
              <a:effectLst/>
              <a:latin typeface="Calibri" panose="020F0502020204030204" pitchFamily="34" charset="0"/>
              <a:ea typeface="+mn-ea"/>
              <a:cs typeface="Calibri" panose="020F0502020204030204" pitchFamily="34" charset="0"/>
            </a:rPr>
            <a:t>DARJEELING</a:t>
          </a:r>
          <a:endParaRPr lang="en-IN" sz="1000" b="0">
            <a:solidFill>
              <a:schemeClr val="bg1"/>
            </a:solidFill>
            <a:latin typeface="Calibri" panose="020F0502020204030204" pitchFamily="34" charset="0"/>
            <a:cs typeface="Calibri" panose="020F0502020204030204" pitchFamily="34" charset="0"/>
          </a:endParaRPr>
        </a:p>
      </xdr:txBody>
    </xdr:sp>
    <xdr:clientData/>
  </xdr:twoCellAnchor>
  <xdr:twoCellAnchor editAs="absolute">
    <xdr:from>
      <xdr:col>4</xdr:col>
      <xdr:colOff>598726</xdr:colOff>
      <xdr:row>2</xdr:row>
      <xdr:rowOff>143944</xdr:rowOff>
    </xdr:from>
    <xdr:to>
      <xdr:col>7</xdr:col>
      <xdr:colOff>317500</xdr:colOff>
      <xdr:row>7</xdr:row>
      <xdr:rowOff>110692</xdr:rowOff>
    </xdr:to>
    <xdr:sp macro="" textlink="">
      <xdr:nvSpPr>
        <xdr:cNvPr id="6" name="Freeform 2">
          <a:extLst>
            <a:ext uri="{FF2B5EF4-FFF2-40B4-BE49-F238E27FC236}">
              <a16:creationId xmlns:a16="http://schemas.microsoft.com/office/drawing/2014/main" id="{03F6CD09-0F8C-4DB3-94D6-8FFA6B8C3F48}"/>
            </a:ext>
          </a:extLst>
        </xdr:cNvPr>
        <xdr:cNvSpPr>
          <a:spLocks noChangeAspect="1"/>
        </xdr:cNvSpPr>
      </xdr:nvSpPr>
      <xdr:spPr>
        <a:xfrm>
          <a:off x="3223392" y="524944"/>
          <a:ext cx="1551808" cy="919248"/>
        </a:xfrm>
        <a:custGeom>
          <a:avLst/>
          <a:gdLst/>
          <a:ahLst/>
          <a:cxnLst/>
          <a:rect l="0" t="0" r="0" b="0"/>
          <a:pathLst>
            <a:path w="1105708" h="658052">
              <a:moveTo>
                <a:pt x="1081291" y="218102"/>
              </a:moveTo>
              <a:lnTo>
                <a:pt x="1099541" y="265798"/>
              </a:lnTo>
              <a:lnTo>
                <a:pt x="1085262" y="280311"/>
              </a:lnTo>
              <a:lnTo>
                <a:pt x="1101594" y="297906"/>
              </a:lnTo>
              <a:lnTo>
                <a:pt x="1094765" y="328065"/>
              </a:lnTo>
              <a:lnTo>
                <a:pt x="1098760" y="354511"/>
              </a:lnTo>
              <a:lnTo>
                <a:pt x="1093494" y="409258"/>
              </a:lnTo>
              <a:lnTo>
                <a:pt x="1105707" y="427120"/>
              </a:lnTo>
              <a:lnTo>
                <a:pt x="1095295" y="473635"/>
              </a:lnTo>
              <a:lnTo>
                <a:pt x="1080285" y="477111"/>
              </a:lnTo>
              <a:lnTo>
                <a:pt x="1080285" y="477111"/>
              </a:lnTo>
              <a:lnTo>
                <a:pt x="1077729" y="436966"/>
              </a:lnTo>
              <a:lnTo>
                <a:pt x="1020585" y="438072"/>
              </a:lnTo>
              <a:lnTo>
                <a:pt x="976803" y="475593"/>
              </a:lnTo>
              <a:lnTo>
                <a:pt x="949784" y="464188"/>
              </a:lnTo>
              <a:lnTo>
                <a:pt x="922745" y="481998"/>
              </a:lnTo>
              <a:lnTo>
                <a:pt x="919304" y="500853"/>
              </a:lnTo>
              <a:lnTo>
                <a:pt x="893556" y="472729"/>
              </a:lnTo>
              <a:lnTo>
                <a:pt x="869875" y="485280"/>
              </a:lnTo>
              <a:lnTo>
                <a:pt x="851544" y="435027"/>
              </a:lnTo>
              <a:lnTo>
                <a:pt x="823207" y="439292"/>
              </a:lnTo>
              <a:lnTo>
                <a:pt x="793731" y="424980"/>
              </a:lnTo>
              <a:lnTo>
                <a:pt x="782030" y="444838"/>
              </a:lnTo>
              <a:lnTo>
                <a:pt x="749429" y="454886"/>
              </a:lnTo>
              <a:lnTo>
                <a:pt x="719415" y="423966"/>
              </a:lnTo>
              <a:lnTo>
                <a:pt x="713039" y="432915"/>
              </a:lnTo>
              <a:lnTo>
                <a:pt x="660802" y="438583"/>
              </a:lnTo>
              <a:lnTo>
                <a:pt x="600693" y="420519"/>
              </a:lnTo>
              <a:lnTo>
                <a:pt x="592440" y="429069"/>
              </a:lnTo>
              <a:lnTo>
                <a:pt x="565147" y="412054"/>
              </a:lnTo>
              <a:lnTo>
                <a:pt x="521039" y="414659"/>
              </a:lnTo>
              <a:lnTo>
                <a:pt x="507231" y="399354"/>
              </a:lnTo>
              <a:lnTo>
                <a:pt x="471104" y="420106"/>
              </a:lnTo>
              <a:lnTo>
                <a:pt x="432486" y="398182"/>
              </a:lnTo>
              <a:lnTo>
                <a:pt x="404223" y="475366"/>
              </a:lnTo>
              <a:lnTo>
                <a:pt x="383673" y="462954"/>
              </a:lnTo>
              <a:lnTo>
                <a:pt x="391354" y="484167"/>
              </a:lnTo>
              <a:lnTo>
                <a:pt x="374491" y="495716"/>
              </a:lnTo>
              <a:lnTo>
                <a:pt x="371594" y="517540"/>
              </a:lnTo>
              <a:lnTo>
                <a:pt x="348919" y="548559"/>
              </a:lnTo>
              <a:lnTo>
                <a:pt x="310276" y="558826"/>
              </a:lnTo>
              <a:lnTo>
                <a:pt x="291568" y="538232"/>
              </a:lnTo>
              <a:lnTo>
                <a:pt x="273781" y="574498"/>
              </a:lnTo>
              <a:lnTo>
                <a:pt x="282500" y="614298"/>
              </a:lnTo>
              <a:lnTo>
                <a:pt x="282500" y="614298"/>
              </a:lnTo>
              <a:lnTo>
                <a:pt x="272363" y="630991"/>
              </a:lnTo>
              <a:lnTo>
                <a:pt x="221239" y="658051"/>
              </a:lnTo>
              <a:lnTo>
                <a:pt x="230482" y="625295"/>
              </a:lnTo>
              <a:lnTo>
                <a:pt x="220975" y="612230"/>
              </a:lnTo>
              <a:lnTo>
                <a:pt x="256265" y="615783"/>
              </a:lnTo>
              <a:lnTo>
                <a:pt x="274236" y="582531"/>
              </a:lnTo>
              <a:lnTo>
                <a:pt x="242331" y="597933"/>
              </a:lnTo>
              <a:lnTo>
                <a:pt x="227642" y="533788"/>
              </a:lnTo>
              <a:lnTo>
                <a:pt x="180162" y="509759"/>
              </a:lnTo>
              <a:lnTo>
                <a:pt x="178647" y="482649"/>
              </a:lnTo>
              <a:lnTo>
                <a:pt x="133119" y="493240"/>
              </a:lnTo>
              <a:lnTo>
                <a:pt x="120750" y="469754"/>
              </a:lnTo>
              <a:lnTo>
                <a:pt x="100845" y="468337"/>
              </a:lnTo>
              <a:lnTo>
                <a:pt x="63401" y="424575"/>
              </a:lnTo>
              <a:lnTo>
                <a:pt x="48375" y="427917"/>
              </a:lnTo>
              <a:lnTo>
                <a:pt x="23002" y="402114"/>
              </a:lnTo>
              <a:lnTo>
                <a:pt x="8914" y="346491"/>
              </a:lnTo>
              <a:lnTo>
                <a:pt x="8914" y="346491"/>
              </a:lnTo>
              <a:lnTo>
                <a:pt x="0" y="301162"/>
              </a:lnTo>
              <a:lnTo>
                <a:pt x="5552" y="284750"/>
              </a:lnTo>
              <a:lnTo>
                <a:pt x="34143" y="285706"/>
              </a:lnTo>
              <a:lnTo>
                <a:pt x="15389" y="262566"/>
              </a:lnTo>
              <a:lnTo>
                <a:pt x="25301" y="208160"/>
              </a:lnTo>
              <a:lnTo>
                <a:pt x="18277" y="197469"/>
              </a:lnTo>
              <a:lnTo>
                <a:pt x="22804" y="162489"/>
              </a:lnTo>
              <a:lnTo>
                <a:pt x="116084" y="111545"/>
              </a:lnTo>
              <a:lnTo>
                <a:pt x="140819" y="118224"/>
              </a:lnTo>
              <a:lnTo>
                <a:pt x="163443" y="95316"/>
              </a:lnTo>
              <a:lnTo>
                <a:pt x="175863" y="46300"/>
              </a:lnTo>
              <a:lnTo>
                <a:pt x="184225" y="72508"/>
              </a:lnTo>
              <a:lnTo>
                <a:pt x="258148" y="71356"/>
              </a:lnTo>
              <a:lnTo>
                <a:pt x="252033" y="36468"/>
              </a:lnTo>
              <a:lnTo>
                <a:pt x="276765" y="10902"/>
              </a:lnTo>
              <a:lnTo>
                <a:pt x="290043" y="10145"/>
              </a:lnTo>
              <a:lnTo>
                <a:pt x="336753" y="31632"/>
              </a:lnTo>
              <a:lnTo>
                <a:pt x="336753" y="31632"/>
              </a:lnTo>
              <a:lnTo>
                <a:pt x="370304" y="0"/>
              </a:lnTo>
              <a:lnTo>
                <a:pt x="399801" y="25474"/>
              </a:lnTo>
              <a:lnTo>
                <a:pt x="390664" y="50167"/>
              </a:lnTo>
              <a:lnTo>
                <a:pt x="424117" y="64333"/>
              </a:lnTo>
              <a:lnTo>
                <a:pt x="453868" y="46488"/>
              </a:lnTo>
              <a:lnTo>
                <a:pt x="470863" y="77713"/>
              </a:lnTo>
              <a:lnTo>
                <a:pt x="501424" y="81455"/>
              </a:lnTo>
              <a:lnTo>
                <a:pt x="515585" y="134492"/>
              </a:lnTo>
              <a:lnTo>
                <a:pt x="534425" y="157547"/>
              </a:lnTo>
              <a:lnTo>
                <a:pt x="562223" y="145327"/>
              </a:lnTo>
              <a:lnTo>
                <a:pt x="584853" y="154555"/>
              </a:lnTo>
              <a:lnTo>
                <a:pt x="625630" y="144063"/>
              </a:lnTo>
              <a:lnTo>
                <a:pt x="675946" y="108812"/>
              </a:lnTo>
              <a:lnTo>
                <a:pt x="681347" y="122080"/>
              </a:lnTo>
              <a:lnTo>
                <a:pt x="708270" y="95778"/>
              </a:lnTo>
              <a:lnTo>
                <a:pt x="728826" y="116181"/>
              </a:lnTo>
              <a:lnTo>
                <a:pt x="773157" y="119015"/>
              </a:lnTo>
              <a:lnTo>
                <a:pt x="781202" y="145211"/>
              </a:lnTo>
              <a:lnTo>
                <a:pt x="809807" y="146476"/>
              </a:lnTo>
              <a:lnTo>
                <a:pt x="819974" y="132254"/>
              </a:lnTo>
              <a:lnTo>
                <a:pt x="856796" y="132497"/>
              </a:lnTo>
              <a:lnTo>
                <a:pt x="862063" y="143250"/>
              </a:lnTo>
              <a:lnTo>
                <a:pt x="929273" y="165757"/>
              </a:lnTo>
              <a:lnTo>
                <a:pt x="923932" y="190769"/>
              </a:lnTo>
              <a:lnTo>
                <a:pt x="901086" y="208311"/>
              </a:lnTo>
              <a:lnTo>
                <a:pt x="936444" y="214162"/>
              </a:lnTo>
              <a:lnTo>
                <a:pt x="939837" y="194811"/>
              </a:lnTo>
              <a:lnTo>
                <a:pt x="981962" y="205764"/>
              </a:lnTo>
              <a:lnTo>
                <a:pt x="1009731" y="193435"/>
              </a:lnTo>
              <a:lnTo>
                <a:pt x="1024605" y="224729"/>
              </a:lnTo>
              <a:lnTo>
                <a:pt x="1039341" y="210195"/>
              </a:lnTo>
              <a:close/>
            </a:path>
          </a:pathLst>
        </a:custGeom>
        <a:solidFill>
          <a:srgbClr val="FF66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548000" tIns="972000" rtlCol="0" anchor="ctr"/>
        <a:lstStyle/>
        <a:p>
          <a:pPr algn="ctr"/>
          <a:r>
            <a:rPr lang="en-IN" sz="900" b="0">
              <a:latin typeface="Calibri" panose="020F0502020204030204" pitchFamily="34" charset="0"/>
              <a:cs typeface="Calibri" panose="020F0502020204030204" pitchFamily="34" charset="0"/>
            </a:rPr>
            <a:t>JALPAIGURI</a:t>
          </a:r>
        </a:p>
      </xdr:txBody>
    </xdr:sp>
    <xdr:clientData/>
  </xdr:twoCellAnchor>
  <xdr:twoCellAnchor editAs="absolute">
    <xdr:from>
      <xdr:col>4</xdr:col>
      <xdr:colOff>34788</xdr:colOff>
      <xdr:row>6</xdr:row>
      <xdr:rowOff>34595</xdr:rowOff>
    </xdr:from>
    <xdr:to>
      <xdr:col>5</xdr:col>
      <xdr:colOff>209065</xdr:colOff>
      <xdr:row>14</xdr:row>
      <xdr:rowOff>30485</xdr:rowOff>
    </xdr:to>
    <xdr:sp macro="" textlink="">
      <xdr:nvSpPr>
        <xdr:cNvPr id="7" name="Freeform 4">
          <a:extLst>
            <a:ext uri="{FF2B5EF4-FFF2-40B4-BE49-F238E27FC236}">
              <a16:creationId xmlns:a16="http://schemas.microsoft.com/office/drawing/2014/main" id="{F5D14484-E985-49D0-81E2-A1A4FA410F30}"/>
            </a:ext>
          </a:extLst>
        </xdr:cNvPr>
        <xdr:cNvSpPr>
          <a:spLocks noChangeAspect="1"/>
        </xdr:cNvSpPr>
      </xdr:nvSpPr>
      <xdr:spPr>
        <a:xfrm>
          <a:off x="2663688" y="1177595"/>
          <a:ext cx="783877" cy="1551640"/>
        </a:xfrm>
        <a:custGeom>
          <a:avLst/>
          <a:gdLst/>
          <a:ahLst/>
          <a:cxnLst/>
          <a:rect l="0" t="0" r="0" b="0"/>
          <a:pathLst>
            <a:path w="558535" h="1110755">
              <a:moveTo>
                <a:pt x="2315" y="566349"/>
              </a:moveTo>
              <a:lnTo>
                <a:pt x="0" y="520629"/>
              </a:lnTo>
              <a:lnTo>
                <a:pt x="0" y="520629"/>
              </a:lnTo>
              <a:lnTo>
                <a:pt x="12494" y="420267"/>
              </a:lnTo>
              <a:lnTo>
                <a:pt x="63027" y="377396"/>
              </a:lnTo>
              <a:lnTo>
                <a:pt x="76895" y="395320"/>
              </a:lnTo>
              <a:lnTo>
                <a:pt x="107743" y="347899"/>
              </a:lnTo>
              <a:lnTo>
                <a:pt x="99915" y="321610"/>
              </a:lnTo>
              <a:lnTo>
                <a:pt x="124300" y="328408"/>
              </a:lnTo>
              <a:lnTo>
                <a:pt x="160095" y="296833"/>
              </a:lnTo>
              <a:lnTo>
                <a:pt x="179491" y="287763"/>
              </a:lnTo>
              <a:lnTo>
                <a:pt x="228765" y="223229"/>
              </a:lnTo>
              <a:lnTo>
                <a:pt x="286004" y="187964"/>
              </a:lnTo>
              <a:lnTo>
                <a:pt x="312239" y="143254"/>
              </a:lnTo>
              <a:lnTo>
                <a:pt x="319113" y="150943"/>
              </a:lnTo>
              <a:lnTo>
                <a:pt x="321401" y="107512"/>
              </a:lnTo>
              <a:lnTo>
                <a:pt x="293035" y="112051"/>
              </a:lnTo>
              <a:lnTo>
                <a:pt x="285871" y="98836"/>
              </a:lnTo>
              <a:lnTo>
                <a:pt x="312943" y="70198"/>
              </a:lnTo>
              <a:lnTo>
                <a:pt x="289713" y="49787"/>
              </a:lnTo>
              <a:lnTo>
                <a:pt x="289713" y="49787"/>
              </a:lnTo>
              <a:lnTo>
                <a:pt x="305200" y="11699"/>
              </a:lnTo>
              <a:lnTo>
                <a:pt x="323235" y="21306"/>
              </a:lnTo>
              <a:lnTo>
                <a:pt x="339679" y="1289"/>
              </a:lnTo>
              <a:lnTo>
                <a:pt x="363582" y="0"/>
              </a:lnTo>
              <a:lnTo>
                <a:pt x="363582" y="0"/>
              </a:lnTo>
              <a:lnTo>
                <a:pt x="358176" y="19426"/>
              </a:lnTo>
              <a:lnTo>
                <a:pt x="377086" y="45092"/>
              </a:lnTo>
              <a:lnTo>
                <a:pt x="379809" y="10200"/>
              </a:lnTo>
              <a:lnTo>
                <a:pt x="419759" y="24143"/>
              </a:lnTo>
              <a:lnTo>
                <a:pt x="468337" y="27025"/>
              </a:lnTo>
              <a:lnTo>
                <a:pt x="481885" y="72107"/>
              </a:lnTo>
              <a:lnTo>
                <a:pt x="507577" y="102922"/>
              </a:lnTo>
              <a:lnTo>
                <a:pt x="495884" y="125223"/>
              </a:lnTo>
              <a:lnTo>
                <a:pt x="467051" y="121268"/>
              </a:lnTo>
              <a:lnTo>
                <a:pt x="455127" y="105806"/>
              </a:lnTo>
              <a:lnTo>
                <a:pt x="443404" y="136161"/>
              </a:lnTo>
              <a:lnTo>
                <a:pt x="422074" y="142864"/>
              </a:lnTo>
              <a:lnTo>
                <a:pt x="382501" y="187820"/>
              </a:lnTo>
              <a:lnTo>
                <a:pt x="381425" y="244791"/>
              </a:lnTo>
              <a:lnTo>
                <a:pt x="330338" y="274235"/>
              </a:lnTo>
              <a:lnTo>
                <a:pt x="308221" y="275419"/>
              </a:lnTo>
              <a:lnTo>
                <a:pt x="257687" y="315881"/>
              </a:lnTo>
              <a:lnTo>
                <a:pt x="243302" y="376076"/>
              </a:lnTo>
              <a:lnTo>
                <a:pt x="261252" y="383186"/>
              </a:lnTo>
              <a:lnTo>
                <a:pt x="263540" y="426384"/>
              </a:lnTo>
              <a:lnTo>
                <a:pt x="233051" y="436054"/>
              </a:lnTo>
              <a:lnTo>
                <a:pt x="240820" y="451764"/>
              </a:lnTo>
              <a:lnTo>
                <a:pt x="224552" y="476800"/>
              </a:lnTo>
              <a:lnTo>
                <a:pt x="225979" y="503927"/>
              </a:lnTo>
              <a:lnTo>
                <a:pt x="202616" y="526311"/>
              </a:lnTo>
              <a:lnTo>
                <a:pt x="221519" y="630609"/>
              </a:lnTo>
              <a:lnTo>
                <a:pt x="243374" y="631979"/>
              </a:lnTo>
              <a:lnTo>
                <a:pt x="244248" y="648559"/>
              </a:lnTo>
              <a:lnTo>
                <a:pt x="274207" y="627831"/>
              </a:lnTo>
              <a:lnTo>
                <a:pt x="337421" y="613886"/>
              </a:lnTo>
              <a:lnTo>
                <a:pt x="343469" y="640265"/>
              </a:lnTo>
              <a:lnTo>
                <a:pt x="423273" y="692902"/>
              </a:lnTo>
              <a:lnTo>
                <a:pt x="423982" y="705965"/>
              </a:lnTo>
              <a:lnTo>
                <a:pt x="460911" y="736710"/>
              </a:lnTo>
              <a:lnTo>
                <a:pt x="489729" y="737655"/>
              </a:lnTo>
              <a:lnTo>
                <a:pt x="486056" y="789257"/>
              </a:lnTo>
              <a:lnTo>
                <a:pt x="522253" y="805917"/>
              </a:lnTo>
              <a:lnTo>
                <a:pt x="523303" y="825010"/>
              </a:lnTo>
              <a:lnTo>
                <a:pt x="558534" y="865905"/>
              </a:lnTo>
              <a:lnTo>
                <a:pt x="558534" y="865905"/>
              </a:lnTo>
              <a:lnTo>
                <a:pt x="555116" y="879702"/>
              </a:lnTo>
              <a:lnTo>
                <a:pt x="531314" y="894622"/>
              </a:lnTo>
              <a:lnTo>
                <a:pt x="528334" y="916458"/>
              </a:lnTo>
              <a:lnTo>
                <a:pt x="506672" y="928231"/>
              </a:lnTo>
              <a:lnTo>
                <a:pt x="501671" y="955721"/>
              </a:lnTo>
              <a:lnTo>
                <a:pt x="480137" y="970003"/>
              </a:lnTo>
              <a:lnTo>
                <a:pt x="464059" y="1033377"/>
              </a:lnTo>
              <a:lnTo>
                <a:pt x="469683" y="1059784"/>
              </a:lnTo>
              <a:lnTo>
                <a:pt x="469683" y="1059784"/>
              </a:lnTo>
              <a:lnTo>
                <a:pt x="450335" y="1071925"/>
              </a:lnTo>
              <a:lnTo>
                <a:pt x="423157" y="1059788"/>
              </a:lnTo>
              <a:lnTo>
                <a:pt x="394666" y="1066364"/>
              </a:lnTo>
              <a:lnTo>
                <a:pt x="378494" y="1051104"/>
              </a:lnTo>
              <a:lnTo>
                <a:pt x="351050" y="1077270"/>
              </a:lnTo>
              <a:lnTo>
                <a:pt x="330216" y="1061749"/>
              </a:lnTo>
              <a:lnTo>
                <a:pt x="309852" y="1090047"/>
              </a:lnTo>
              <a:lnTo>
                <a:pt x="286438" y="1069615"/>
              </a:lnTo>
              <a:lnTo>
                <a:pt x="273872" y="1078343"/>
              </a:lnTo>
              <a:lnTo>
                <a:pt x="270927" y="1110754"/>
              </a:lnTo>
              <a:lnTo>
                <a:pt x="241309" y="1096183"/>
              </a:lnTo>
              <a:lnTo>
                <a:pt x="257964" y="1076661"/>
              </a:lnTo>
              <a:lnTo>
                <a:pt x="243284" y="1045178"/>
              </a:lnTo>
              <a:lnTo>
                <a:pt x="254712" y="1014843"/>
              </a:lnTo>
              <a:lnTo>
                <a:pt x="227912" y="964847"/>
              </a:lnTo>
              <a:lnTo>
                <a:pt x="238482" y="953710"/>
              </a:lnTo>
              <a:lnTo>
                <a:pt x="220292" y="943577"/>
              </a:lnTo>
              <a:lnTo>
                <a:pt x="207489" y="911995"/>
              </a:lnTo>
              <a:lnTo>
                <a:pt x="207489" y="911995"/>
              </a:lnTo>
              <a:lnTo>
                <a:pt x="210992" y="890144"/>
              </a:lnTo>
              <a:lnTo>
                <a:pt x="182163" y="853856"/>
              </a:lnTo>
              <a:lnTo>
                <a:pt x="173876" y="819519"/>
              </a:lnTo>
              <a:lnTo>
                <a:pt x="182604" y="773213"/>
              </a:lnTo>
              <a:lnTo>
                <a:pt x="175151" y="719186"/>
              </a:lnTo>
              <a:lnTo>
                <a:pt x="137057" y="700003"/>
              </a:lnTo>
              <a:lnTo>
                <a:pt x="121462" y="703328"/>
              </a:lnTo>
              <a:lnTo>
                <a:pt x="96174" y="680448"/>
              </a:lnTo>
              <a:lnTo>
                <a:pt x="95193" y="661354"/>
              </a:lnTo>
              <a:lnTo>
                <a:pt x="66530" y="662824"/>
              </a:lnTo>
              <a:lnTo>
                <a:pt x="64602" y="625140"/>
              </a:lnTo>
              <a:lnTo>
                <a:pt x="52843" y="612643"/>
              </a:lnTo>
              <a:lnTo>
                <a:pt x="73917" y="589903"/>
              </a:lnTo>
              <a:close/>
            </a:path>
          </a:pathLst>
        </a:custGeom>
        <a:solidFill>
          <a:srgbClr val="FF00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1044000" tIns="2196000" rIns="72000" bIns="0" rtlCol="0" anchor="ctr"/>
        <a:lstStyle/>
        <a:p>
          <a:pPr algn="ctr"/>
          <a:r>
            <a:rPr lang="en-IN" sz="800" b="0">
              <a:latin typeface="Calibri" panose="020F0502020204030204" pitchFamily="34" charset="0"/>
              <a:cs typeface="Calibri" panose="020F0502020204030204" pitchFamily="34" charset="0"/>
            </a:rPr>
            <a:t>UTTAR </a:t>
          </a:r>
        </a:p>
        <a:p>
          <a:pPr algn="ctr"/>
          <a:r>
            <a:rPr lang="en-IN" sz="800" b="0">
              <a:latin typeface="Calibri" panose="020F0502020204030204" pitchFamily="34" charset="0"/>
              <a:cs typeface="Calibri" panose="020F0502020204030204" pitchFamily="34" charset="0"/>
            </a:rPr>
            <a:t>DINAJPUR</a:t>
          </a:r>
        </a:p>
      </xdr:txBody>
    </xdr:sp>
    <xdr:clientData/>
  </xdr:twoCellAnchor>
  <xdr:twoCellAnchor editAs="absolute">
    <xdr:from>
      <xdr:col>5</xdr:col>
      <xdr:colOff>76473</xdr:colOff>
      <xdr:row>12</xdr:row>
      <xdr:rowOff>71247</xdr:rowOff>
    </xdr:from>
    <xdr:to>
      <xdr:col>6</xdr:col>
      <xdr:colOff>109296</xdr:colOff>
      <xdr:row>14</xdr:row>
      <xdr:rowOff>104755</xdr:rowOff>
    </xdr:to>
    <xdr:sp macro="" textlink="">
      <xdr:nvSpPr>
        <xdr:cNvPr id="8" name="Freeform 5">
          <a:extLst>
            <a:ext uri="{FF2B5EF4-FFF2-40B4-BE49-F238E27FC236}">
              <a16:creationId xmlns:a16="http://schemas.microsoft.com/office/drawing/2014/main" id="{769C77FD-98F4-466B-8D39-2C6326036C5C}"/>
            </a:ext>
          </a:extLst>
        </xdr:cNvPr>
        <xdr:cNvSpPr>
          <a:spLocks noChangeAspect="1"/>
        </xdr:cNvSpPr>
      </xdr:nvSpPr>
      <xdr:spPr>
        <a:xfrm>
          <a:off x="3314973" y="2357247"/>
          <a:ext cx="642423" cy="446258"/>
        </a:xfrm>
        <a:custGeom>
          <a:avLst/>
          <a:gdLst/>
          <a:ahLst/>
          <a:cxnLst/>
          <a:rect l="0" t="0" r="0" b="0"/>
          <a:pathLst>
            <a:path w="457745" h="319458">
              <a:moveTo>
                <a:pt x="34607" y="302958"/>
              </a:moveTo>
              <a:lnTo>
                <a:pt x="44685" y="240407"/>
              </a:lnTo>
              <a:lnTo>
                <a:pt x="26614" y="233330"/>
              </a:lnTo>
              <a:lnTo>
                <a:pt x="36402" y="208097"/>
              </a:lnTo>
              <a:lnTo>
                <a:pt x="24693" y="198152"/>
              </a:lnTo>
              <a:lnTo>
                <a:pt x="5624" y="215321"/>
              </a:lnTo>
              <a:lnTo>
                <a:pt x="5624" y="215321"/>
              </a:lnTo>
              <a:lnTo>
                <a:pt x="0" y="188914"/>
              </a:lnTo>
              <a:lnTo>
                <a:pt x="16078" y="125540"/>
              </a:lnTo>
              <a:lnTo>
                <a:pt x="37612" y="111258"/>
              </a:lnTo>
              <a:lnTo>
                <a:pt x="42613" y="83768"/>
              </a:lnTo>
              <a:lnTo>
                <a:pt x="64275" y="71995"/>
              </a:lnTo>
              <a:lnTo>
                <a:pt x="67255" y="50159"/>
              </a:lnTo>
              <a:lnTo>
                <a:pt x="91057" y="35239"/>
              </a:lnTo>
              <a:lnTo>
                <a:pt x="94475" y="21442"/>
              </a:lnTo>
              <a:lnTo>
                <a:pt x="94475" y="21442"/>
              </a:lnTo>
              <a:lnTo>
                <a:pt x="167802" y="28452"/>
              </a:lnTo>
              <a:lnTo>
                <a:pt x="191245" y="48812"/>
              </a:lnTo>
              <a:lnTo>
                <a:pt x="215333" y="47458"/>
              </a:lnTo>
              <a:lnTo>
                <a:pt x="218889" y="28104"/>
              </a:lnTo>
              <a:lnTo>
                <a:pt x="264740" y="25511"/>
              </a:lnTo>
              <a:lnTo>
                <a:pt x="259346" y="4144"/>
              </a:lnTo>
              <a:lnTo>
                <a:pt x="287912" y="0"/>
              </a:lnTo>
              <a:lnTo>
                <a:pt x="300717" y="29008"/>
              </a:lnTo>
              <a:lnTo>
                <a:pt x="316460" y="36173"/>
              </a:lnTo>
              <a:lnTo>
                <a:pt x="321248" y="79249"/>
              </a:lnTo>
              <a:lnTo>
                <a:pt x="304845" y="101357"/>
              </a:lnTo>
              <a:lnTo>
                <a:pt x="322915" y="108389"/>
              </a:lnTo>
              <a:lnTo>
                <a:pt x="331275" y="140677"/>
              </a:lnTo>
              <a:lnTo>
                <a:pt x="361867" y="171183"/>
              </a:lnTo>
              <a:lnTo>
                <a:pt x="376706" y="162263"/>
              </a:lnTo>
              <a:lnTo>
                <a:pt x="388908" y="180211"/>
              </a:lnTo>
              <a:lnTo>
                <a:pt x="453696" y="190063"/>
              </a:lnTo>
              <a:lnTo>
                <a:pt x="457744" y="219572"/>
              </a:lnTo>
              <a:lnTo>
                <a:pt x="439329" y="215099"/>
              </a:lnTo>
              <a:lnTo>
                <a:pt x="416459" y="238105"/>
              </a:lnTo>
              <a:lnTo>
                <a:pt x="424821" y="269887"/>
              </a:lnTo>
              <a:lnTo>
                <a:pt x="407824" y="281963"/>
              </a:lnTo>
              <a:lnTo>
                <a:pt x="415863" y="300152"/>
              </a:lnTo>
              <a:lnTo>
                <a:pt x="396685" y="314873"/>
              </a:lnTo>
              <a:lnTo>
                <a:pt x="332461" y="275208"/>
              </a:lnTo>
              <a:lnTo>
                <a:pt x="316515" y="305863"/>
              </a:lnTo>
              <a:lnTo>
                <a:pt x="270089" y="308504"/>
              </a:lnTo>
              <a:lnTo>
                <a:pt x="239944" y="286010"/>
              </a:lnTo>
              <a:lnTo>
                <a:pt x="164747" y="290228"/>
              </a:lnTo>
              <a:lnTo>
                <a:pt x="128651" y="319457"/>
              </a:lnTo>
              <a:lnTo>
                <a:pt x="123721" y="306119"/>
              </a:lnTo>
              <a:lnTo>
                <a:pt x="64966" y="287685"/>
              </a:lnTo>
              <a:close/>
            </a:path>
          </a:pathLst>
        </a:custGeom>
        <a:solidFill>
          <a:srgbClr val="FF66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720000" tIns="576000" rIns="108000" rtlCol="0" anchor="ctr"/>
        <a:lstStyle/>
        <a:p>
          <a:pPr algn="ctr"/>
          <a:r>
            <a:rPr lang="en-IN" sz="900" b="0">
              <a:latin typeface="Calibri" panose="020F0502020204030204" pitchFamily="34" charset="0"/>
              <a:cs typeface="Calibri" panose="020F0502020204030204" pitchFamily="34" charset="0"/>
            </a:rPr>
            <a:t>DAKSHIN </a:t>
          </a:r>
        </a:p>
        <a:p>
          <a:pPr algn="ctr"/>
          <a:r>
            <a:rPr lang="en-IN" sz="900" b="0">
              <a:latin typeface="Calibri" panose="020F0502020204030204" pitchFamily="34" charset="0"/>
              <a:cs typeface="Calibri" panose="020F0502020204030204" pitchFamily="34" charset="0"/>
            </a:rPr>
            <a:t>DINAJPUR</a:t>
          </a:r>
        </a:p>
      </xdr:txBody>
    </xdr:sp>
    <xdr:clientData/>
  </xdr:twoCellAnchor>
  <xdr:twoCellAnchor editAs="absolute">
    <xdr:from>
      <xdr:col>4</xdr:col>
      <xdr:colOff>7571</xdr:colOff>
      <xdr:row>12</xdr:row>
      <xdr:rowOff>100188</xdr:rowOff>
    </xdr:from>
    <xdr:to>
      <xdr:col>5</xdr:col>
      <xdr:colOff>148493</xdr:colOff>
      <xdr:row>17</xdr:row>
      <xdr:rowOff>186889</xdr:rowOff>
    </xdr:to>
    <xdr:sp macro="" textlink="">
      <xdr:nvSpPr>
        <xdr:cNvPr id="9" name="Freeform 6">
          <a:extLst>
            <a:ext uri="{FF2B5EF4-FFF2-40B4-BE49-F238E27FC236}">
              <a16:creationId xmlns:a16="http://schemas.microsoft.com/office/drawing/2014/main" id="{56D76E81-18E1-494C-8237-5E5BB636000F}"/>
            </a:ext>
          </a:extLst>
        </xdr:cNvPr>
        <xdr:cNvSpPr>
          <a:spLocks noChangeAspect="1"/>
        </xdr:cNvSpPr>
      </xdr:nvSpPr>
      <xdr:spPr>
        <a:xfrm>
          <a:off x="2636471" y="2386188"/>
          <a:ext cx="750522" cy="1092118"/>
        </a:xfrm>
        <a:custGeom>
          <a:avLst/>
          <a:gdLst/>
          <a:ahLst/>
          <a:cxnLst/>
          <a:rect l="0" t="0" r="0" b="0"/>
          <a:pathLst>
            <a:path w="534769" h="781802">
              <a:moveTo>
                <a:pt x="127365" y="607869"/>
              </a:moveTo>
              <a:lnTo>
                <a:pt x="172934" y="586374"/>
              </a:lnTo>
              <a:lnTo>
                <a:pt x="183144" y="567197"/>
              </a:lnTo>
              <a:lnTo>
                <a:pt x="172487" y="532462"/>
              </a:lnTo>
              <a:lnTo>
                <a:pt x="144859" y="512209"/>
              </a:lnTo>
              <a:lnTo>
                <a:pt x="104180" y="455319"/>
              </a:lnTo>
              <a:lnTo>
                <a:pt x="37837" y="415341"/>
              </a:lnTo>
              <a:lnTo>
                <a:pt x="21537" y="397010"/>
              </a:lnTo>
              <a:lnTo>
                <a:pt x="18830" y="343221"/>
              </a:lnTo>
              <a:lnTo>
                <a:pt x="24943" y="288989"/>
              </a:lnTo>
              <a:lnTo>
                <a:pt x="24943" y="288989"/>
              </a:lnTo>
              <a:lnTo>
                <a:pt x="60916" y="300777"/>
              </a:lnTo>
              <a:lnTo>
                <a:pt x="52602" y="274489"/>
              </a:lnTo>
              <a:lnTo>
                <a:pt x="52602" y="274489"/>
              </a:lnTo>
              <a:lnTo>
                <a:pt x="69399" y="257006"/>
              </a:lnTo>
              <a:lnTo>
                <a:pt x="77326" y="229894"/>
              </a:lnTo>
              <a:lnTo>
                <a:pt x="56556" y="214823"/>
              </a:lnTo>
              <a:lnTo>
                <a:pt x="17353" y="184553"/>
              </a:lnTo>
              <a:lnTo>
                <a:pt x="22478" y="157084"/>
              </a:lnTo>
              <a:lnTo>
                <a:pt x="0" y="144610"/>
              </a:lnTo>
              <a:lnTo>
                <a:pt x="14783" y="87431"/>
              </a:lnTo>
              <a:lnTo>
                <a:pt x="41607" y="94138"/>
              </a:lnTo>
              <a:lnTo>
                <a:pt x="49317" y="72080"/>
              </a:lnTo>
              <a:lnTo>
                <a:pt x="71097" y="70973"/>
              </a:lnTo>
              <a:lnTo>
                <a:pt x="69997" y="49362"/>
              </a:lnTo>
              <a:lnTo>
                <a:pt x="84390" y="21923"/>
              </a:lnTo>
              <a:lnTo>
                <a:pt x="102404" y="29064"/>
              </a:lnTo>
              <a:lnTo>
                <a:pt x="110097" y="7004"/>
              </a:lnTo>
              <a:lnTo>
                <a:pt x="138527" y="0"/>
              </a:lnTo>
              <a:lnTo>
                <a:pt x="161956" y="31040"/>
              </a:lnTo>
              <a:lnTo>
                <a:pt x="179143" y="22087"/>
              </a:lnTo>
              <a:lnTo>
                <a:pt x="197868" y="42783"/>
              </a:lnTo>
              <a:lnTo>
                <a:pt x="226881" y="46813"/>
              </a:lnTo>
              <a:lnTo>
                <a:pt x="226881" y="46813"/>
              </a:lnTo>
              <a:lnTo>
                <a:pt x="239684" y="78395"/>
              </a:lnTo>
              <a:lnTo>
                <a:pt x="257874" y="88528"/>
              </a:lnTo>
              <a:lnTo>
                <a:pt x="247304" y="99665"/>
              </a:lnTo>
              <a:lnTo>
                <a:pt x="274104" y="149661"/>
              </a:lnTo>
              <a:lnTo>
                <a:pt x="262676" y="179996"/>
              </a:lnTo>
              <a:lnTo>
                <a:pt x="277356" y="211479"/>
              </a:lnTo>
              <a:lnTo>
                <a:pt x="260701" y="231001"/>
              </a:lnTo>
              <a:lnTo>
                <a:pt x="290319" y="245572"/>
              </a:lnTo>
              <a:lnTo>
                <a:pt x="293264" y="213161"/>
              </a:lnTo>
              <a:lnTo>
                <a:pt x="305830" y="204433"/>
              </a:lnTo>
              <a:lnTo>
                <a:pt x="329244" y="224865"/>
              </a:lnTo>
              <a:lnTo>
                <a:pt x="349608" y="196567"/>
              </a:lnTo>
              <a:lnTo>
                <a:pt x="370442" y="212088"/>
              </a:lnTo>
              <a:lnTo>
                <a:pt x="397886" y="185922"/>
              </a:lnTo>
              <a:lnTo>
                <a:pt x="414058" y="201182"/>
              </a:lnTo>
              <a:lnTo>
                <a:pt x="442549" y="194606"/>
              </a:lnTo>
              <a:lnTo>
                <a:pt x="469727" y="206743"/>
              </a:lnTo>
              <a:lnTo>
                <a:pt x="489075" y="194602"/>
              </a:lnTo>
              <a:lnTo>
                <a:pt x="489075" y="194602"/>
              </a:lnTo>
              <a:lnTo>
                <a:pt x="508144" y="177433"/>
              </a:lnTo>
              <a:lnTo>
                <a:pt x="519853" y="187378"/>
              </a:lnTo>
              <a:lnTo>
                <a:pt x="510065" y="212611"/>
              </a:lnTo>
              <a:lnTo>
                <a:pt x="528136" y="219688"/>
              </a:lnTo>
              <a:lnTo>
                <a:pt x="518058" y="282239"/>
              </a:lnTo>
              <a:lnTo>
                <a:pt x="518058" y="282239"/>
              </a:lnTo>
              <a:lnTo>
                <a:pt x="534768" y="340806"/>
              </a:lnTo>
              <a:lnTo>
                <a:pt x="521738" y="349585"/>
              </a:lnTo>
              <a:lnTo>
                <a:pt x="530906" y="389411"/>
              </a:lnTo>
              <a:lnTo>
                <a:pt x="521071" y="414146"/>
              </a:lnTo>
              <a:lnTo>
                <a:pt x="533270" y="432636"/>
              </a:lnTo>
              <a:lnTo>
                <a:pt x="506038" y="463362"/>
              </a:lnTo>
              <a:lnTo>
                <a:pt x="495203" y="512852"/>
              </a:lnTo>
              <a:lnTo>
                <a:pt x="476928" y="502752"/>
              </a:lnTo>
              <a:lnTo>
                <a:pt x="457525" y="514893"/>
              </a:lnTo>
              <a:lnTo>
                <a:pt x="454349" y="577073"/>
              </a:lnTo>
              <a:lnTo>
                <a:pt x="404922" y="560573"/>
              </a:lnTo>
              <a:lnTo>
                <a:pt x="394191" y="534429"/>
              </a:lnTo>
              <a:lnTo>
                <a:pt x="361906" y="506408"/>
              </a:lnTo>
              <a:lnTo>
                <a:pt x="303174" y="533715"/>
              </a:lnTo>
              <a:lnTo>
                <a:pt x="324614" y="559805"/>
              </a:lnTo>
              <a:lnTo>
                <a:pt x="313706" y="600709"/>
              </a:lnTo>
              <a:lnTo>
                <a:pt x="309267" y="649339"/>
              </a:lnTo>
              <a:lnTo>
                <a:pt x="299149" y="625674"/>
              </a:lnTo>
              <a:lnTo>
                <a:pt x="283591" y="667325"/>
              </a:lnTo>
              <a:lnTo>
                <a:pt x="255599" y="676856"/>
              </a:lnTo>
              <a:lnTo>
                <a:pt x="255658" y="722728"/>
              </a:lnTo>
              <a:lnTo>
                <a:pt x="217954" y="770566"/>
              </a:lnTo>
              <a:lnTo>
                <a:pt x="217954" y="770566"/>
              </a:lnTo>
              <a:lnTo>
                <a:pt x="205447" y="781801"/>
              </a:lnTo>
              <a:lnTo>
                <a:pt x="181953" y="761336"/>
              </a:lnTo>
              <a:lnTo>
                <a:pt x="183139" y="693724"/>
              </a:lnTo>
              <a:close/>
            </a:path>
          </a:pathLst>
        </a:custGeom>
        <a:solidFill>
          <a:srgbClr val="FF00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00000" tIns="1080000" bIns="72000" rtlCol="0" anchor="b" anchorCtr="0"/>
        <a:lstStyle/>
        <a:p>
          <a:pPr algn="ctr"/>
          <a:r>
            <a:rPr lang="en-IN" sz="900" b="0">
              <a:latin typeface="Calibri" panose="020F0502020204030204" pitchFamily="34" charset="0"/>
              <a:cs typeface="Calibri" panose="020F0502020204030204" pitchFamily="34" charset="0"/>
            </a:rPr>
            <a:t>MALDAH</a:t>
          </a:r>
          <a:endParaRPr lang="en-IN" sz="1000" b="0">
            <a:latin typeface="Calibri" panose="020F0502020204030204" pitchFamily="34" charset="0"/>
            <a:cs typeface="Calibri" panose="020F0502020204030204" pitchFamily="34" charset="0"/>
          </a:endParaRPr>
        </a:p>
      </xdr:txBody>
    </xdr:sp>
    <xdr:clientData/>
  </xdr:twoCellAnchor>
  <xdr:twoCellAnchor editAs="absolute">
    <xdr:from>
      <xdr:col>4</xdr:col>
      <xdr:colOff>102833</xdr:colOff>
      <xdr:row>16</xdr:row>
      <xdr:rowOff>134419</xdr:rowOff>
    </xdr:from>
    <xdr:to>
      <xdr:col>5</xdr:col>
      <xdr:colOff>509842</xdr:colOff>
      <xdr:row>23</xdr:row>
      <xdr:rowOff>182005</xdr:rowOff>
    </xdr:to>
    <xdr:sp macro="" textlink="">
      <xdr:nvSpPr>
        <xdr:cNvPr id="10" name="Freeform 7">
          <a:extLst>
            <a:ext uri="{FF2B5EF4-FFF2-40B4-BE49-F238E27FC236}">
              <a16:creationId xmlns:a16="http://schemas.microsoft.com/office/drawing/2014/main" id="{5ACD6380-2553-455E-A8CA-DA1CFB808D73}"/>
            </a:ext>
          </a:extLst>
        </xdr:cNvPr>
        <xdr:cNvSpPr>
          <a:spLocks noChangeAspect="1"/>
        </xdr:cNvSpPr>
      </xdr:nvSpPr>
      <xdr:spPr>
        <a:xfrm>
          <a:off x="2731733" y="3235336"/>
          <a:ext cx="1012376" cy="1400135"/>
        </a:xfrm>
        <a:custGeom>
          <a:avLst/>
          <a:gdLst/>
          <a:ahLst/>
          <a:cxnLst/>
          <a:rect l="0" t="0" r="0" b="0"/>
          <a:pathLst>
            <a:path w="721347" h="1002299">
              <a:moveTo>
                <a:pt x="61510" y="259007"/>
              </a:moveTo>
              <a:lnTo>
                <a:pt x="77978" y="233462"/>
              </a:lnTo>
              <a:lnTo>
                <a:pt x="70496" y="215192"/>
              </a:lnTo>
              <a:lnTo>
                <a:pt x="79757" y="176909"/>
              </a:lnTo>
              <a:lnTo>
                <a:pt x="56273" y="156433"/>
              </a:lnTo>
              <a:lnTo>
                <a:pt x="70758" y="128975"/>
              </a:lnTo>
              <a:lnTo>
                <a:pt x="49333" y="102848"/>
              </a:lnTo>
              <a:lnTo>
                <a:pt x="18114" y="104437"/>
              </a:lnTo>
              <a:lnTo>
                <a:pt x="18114" y="104437"/>
              </a:lnTo>
              <a:lnTo>
                <a:pt x="0" y="97289"/>
              </a:lnTo>
              <a:lnTo>
                <a:pt x="38969" y="73635"/>
              </a:lnTo>
              <a:lnTo>
                <a:pt x="46716" y="51565"/>
              </a:lnTo>
              <a:lnTo>
                <a:pt x="38966" y="27764"/>
              </a:lnTo>
              <a:lnTo>
                <a:pt x="56815" y="29877"/>
              </a:lnTo>
              <a:lnTo>
                <a:pt x="59488" y="0"/>
              </a:lnTo>
              <a:lnTo>
                <a:pt x="59488" y="0"/>
              </a:lnTo>
              <a:lnTo>
                <a:pt x="115262" y="85855"/>
              </a:lnTo>
              <a:lnTo>
                <a:pt x="114076" y="153467"/>
              </a:lnTo>
              <a:lnTo>
                <a:pt x="137570" y="173932"/>
              </a:lnTo>
              <a:lnTo>
                <a:pt x="150077" y="162697"/>
              </a:lnTo>
              <a:lnTo>
                <a:pt x="150077" y="162697"/>
              </a:lnTo>
              <a:lnTo>
                <a:pt x="180658" y="193372"/>
              </a:lnTo>
              <a:lnTo>
                <a:pt x="232092" y="282440"/>
              </a:lnTo>
              <a:lnTo>
                <a:pt x="275367" y="304361"/>
              </a:lnTo>
              <a:lnTo>
                <a:pt x="306441" y="343051"/>
              </a:lnTo>
              <a:lnTo>
                <a:pt x="353724" y="351623"/>
              </a:lnTo>
              <a:lnTo>
                <a:pt x="384701" y="387779"/>
              </a:lnTo>
              <a:lnTo>
                <a:pt x="414827" y="407838"/>
              </a:lnTo>
              <a:lnTo>
                <a:pt x="450605" y="410943"/>
              </a:lnTo>
              <a:lnTo>
                <a:pt x="490040" y="403752"/>
              </a:lnTo>
              <a:lnTo>
                <a:pt x="540695" y="430221"/>
              </a:lnTo>
              <a:lnTo>
                <a:pt x="556115" y="429371"/>
              </a:lnTo>
              <a:lnTo>
                <a:pt x="578461" y="468983"/>
              </a:lnTo>
              <a:lnTo>
                <a:pt x="599696" y="446121"/>
              </a:lnTo>
              <a:lnTo>
                <a:pt x="606993" y="459331"/>
              </a:lnTo>
              <a:lnTo>
                <a:pt x="668700" y="447814"/>
              </a:lnTo>
              <a:lnTo>
                <a:pt x="707291" y="458753"/>
              </a:lnTo>
              <a:lnTo>
                <a:pt x="720186" y="487780"/>
              </a:lnTo>
              <a:lnTo>
                <a:pt x="721346" y="549748"/>
              </a:lnTo>
              <a:lnTo>
                <a:pt x="696355" y="580915"/>
              </a:lnTo>
              <a:lnTo>
                <a:pt x="704519" y="642490"/>
              </a:lnTo>
              <a:lnTo>
                <a:pt x="704519" y="642490"/>
              </a:lnTo>
              <a:lnTo>
                <a:pt x="663132" y="666502"/>
              </a:lnTo>
              <a:lnTo>
                <a:pt x="650097" y="710605"/>
              </a:lnTo>
              <a:lnTo>
                <a:pt x="666314" y="723315"/>
              </a:lnTo>
              <a:lnTo>
                <a:pt x="645645" y="748680"/>
              </a:lnTo>
              <a:lnTo>
                <a:pt x="618716" y="712354"/>
              </a:lnTo>
              <a:lnTo>
                <a:pt x="588925" y="700389"/>
              </a:lnTo>
              <a:lnTo>
                <a:pt x="584454" y="738462"/>
              </a:lnTo>
              <a:lnTo>
                <a:pt x="564447" y="742088"/>
              </a:lnTo>
              <a:lnTo>
                <a:pt x="570491" y="766467"/>
              </a:lnTo>
              <a:lnTo>
                <a:pt x="525834" y="809268"/>
              </a:lnTo>
              <a:lnTo>
                <a:pt x="559698" y="818000"/>
              </a:lnTo>
              <a:lnTo>
                <a:pt x="531679" y="838703"/>
              </a:lnTo>
              <a:lnTo>
                <a:pt x="542105" y="900165"/>
              </a:lnTo>
              <a:lnTo>
                <a:pt x="524279" y="901142"/>
              </a:lnTo>
              <a:lnTo>
                <a:pt x="515620" y="871859"/>
              </a:lnTo>
              <a:lnTo>
                <a:pt x="500154" y="916076"/>
              </a:lnTo>
              <a:lnTo>
                <a:pt x="447843" y="897230"/>
              </a:lnTo>
              <a:lnTo>
                <a:pt x="424613" y="920169"/>
              </a:lnTo>
              <a:lnTo>
                <a:pt x="383965" y="916803"/>
              </a:lnTo>
              <a:lnTo>
                <a:pt x="360130" y="928666"/>
              </a:lnTo>
              <a:lnTo>
                <a:pt x="368283" y="957986"/>
              </a:lnTo>
              <a:lnTo>
                <a:pt x="332478" y="957369"/>
              </a:lnTo>
              <a:lnTo>
                <a:pt x="332478" y="957369"/>
              </a:lnTo>
              <a:lnTo>
                <a:pt x="287104" y="989520"/>
              </a:lnTo>
              <a:lnTo>
                <a:pt x="279685" y="973773"/>
              </a:lnTo>
              <a:lnTo>
                <a:pt x="254648" y="972062"/>
              </a:lnTo>
              <a:lnTo>
                <a:pt x="245403" y="1002298"/>
              </a:lnTo>
              <a:lnTo>
                <a:pt x="225081" y="1000838"/>
              </a:lnTo>
              <a:lnTo>
                <a:pt x="209792" y="969360"/>
              </a:lnTo>
              <a:lnTo>
                <a:pt x="227052" y="957368"/>
              </a:lnTo>
              <a:lnTo>
                <a:pt x="205745" y="936793"/>
              </a:lnTo>
              <a:lnTo>
                <a:pt x="188173" y="897365"/>
              </a:lnTo>
              <a:lnTo>
                <a:pt x="154995" y="901602"/>
              </a:lnTo>
              <a:lnTo>
                <a:pt x="154334" y="934413"/>
              </a:lnTo>
              <a:lnTo>
                <a:pt x="154334" y="934413"/>
              </a:lnTo>
              <a:lnTo>
                <a:pt x="123434" y="900704"/>
              </a:lnTo>
              <a:lnTo>
                <a:pt x="99168" y="904468"/>
              </a:lnTo>
              <a:lnTo>
                <a:pt x="63218" y="863440"/>
              </a:lnTo>
              <a:lnTo>
                <a:pt x="73244" y="838727"/>
              </a:lnTo>
              <a:lnTo>
                <a:pt x="70633" y="787429"/>
              </a:lnTo>
              <a:lnTo>
                <a:pt x="75612" y="746838"/>
              </a:lnTo>
              <a:lnTo>
                <a:pt x="68303" y="741664"/>
              </a:lnTo>
              <a:lnTo>
                <a:pt x="89146" y="708331"/>
              </a:lnTo>
              <a:lnTo>
                <a:pt x="98584" y="672553"/>
              </a:lnTo>
              <a:lnTo>
                <a:pt x="86808" y="662567"/>
              </a:lnTo>
              <a:lnTo>
                <a:pt x="98526" y="634740"/>
              </a:lnTo>
              <a:lnTo>
                <a:pt x="90867" y="613451"/>
              </a:lnTo>
              <a:lnTo>
                <a:pt x="114660" y="601643"/>
              </a:lnTo>
              <a:lnTo>
                <a:pt x="107128" y="582870"/>
              </a:lnTo>
              <a:lnTo>
                <a:pt x="138890" y="589304"/>
              </a:lnTo>
              <a:lnTo>
                <a:pt x="168389" y="561056"/>
              </a:lnTo>
              <a:lnTo>
                <a:pt x="158381" y="539893"/>
              </a:lnTo>
              <a:lnTo>
                <a:pt x="180830" y="538729"/>
              </a:lnTo>
              <a:lnTo>
                <a:pt x="166399" y="477460"/>
              </a:lnTo>
              <a:lnTo>
                <a:pt x="129758" y="457674"/>
              </a:lnTo>
              <a:lnTo>
                <a:pt x="122387" y="441920"/>
              </a:lnTo>
              <a:lnTo>
                <a:pt x="137366" y="387200"/>
              </a:lnTo>
              <a:lnTo>
                <a:pt x="128051" y="333735"/>
              </a:lnTo>
              <a:lnTo>
                <a:pt x="105072" y="323826"/>
              </a:lnTo>
              <a:lnTo>
                <a:pt x="110521" y="302372"/>
              </a:lnTo>
              <a:lnTo>
                <a:pt x="89187" y="278764"/>
              </a:lnTo>
              <a:lnTo>
                <a:pt x="62588" y="280125"/>
              </a:lnTo>
              <a:close/>
            </a:path>
          </a:pathLst>
        </a:custGeom>
        <a:solidFill>
          <a:srgbClr val="FF66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1224000" tIns="1800000" rtlCol="0" anchor="ctr"/>
        <a:lstStyle/>
        <a:p>
          <a:pPr algn="ctr"/>
          <a:r>
            <a:rPr lang="en-IN" sz="900" b="0">
              <a:latin typeface="Calibri" panose="020F0502020204030204" pitchFamily="34" charset="0"/>
              <a:cs typeface="Calibri" panose="020F0502020204030204" pitchFamily="34" charset="0"/>
            </a:rPr>
            <a:t>MURSHIDABAD</a:t>
          </a:r>
        </a:p>
      </xdr:txBody>
    </xdr:sp>
    <xdr:clientData/>
  </xdr:twoCellAnchor>
  <xdr:twoCellAnchor editAs="absolute">
    <xdr:from>
      <xdr:col>2</xdr:col>
      <xdr:colOff>602574</xdr:colOff>
      <xdr:row>18</xdr:row>
      <xdr:rowOff>99030</xdr:rowOff>
    </xdr:from>
    <xdr:to>
      <xdr:col>4</xdr:col>
      <xdr:colOff>356620</xdr:colOff>
      <xdr:row>25</xdr:row>
      <xdr:rowOff>28737</xdr:rowOff>
    </xdr:to>
    <xdr:sp macro="" textlink="">
      <xdr:nvSpPr>
        <xdr:cNvPr id="11" name="Freeform 8">
          <a:extLst>
            <a:ext uri="{FF2B5EF4-FFF2-40B4-BE49-F238E27FC236}">
              <a16:creationId xmlns:a16="http://schemas.microsoft.com/office/drawing/2014/main" id="{1AB8CFA0-E43F-4C18-BD9E-EC8F3EFBA1C1}"/>
            </a:ext>
          </a:extLst>
        </xdr:cNvPr>
        <xdr:cNvSpPr>
          <a:spLocks noChangeAspect="1"/>
        </xdr:cNvSpPr>
      </xdr:nvSpPr>
      <xdr:spPr>
        <a:xfrm>
          <a:off x="2008041" y="3580947"/>
          <a:ext cx="977479" cy="1282256"/>
        </a:xfrm>
        <a:custGeom>
          <a:avLst/>
          <a:gdLst/>
          <a:ahLst/>
          <a:cxnLst/>
          <a:rect l="0" t="0" r="0" b="0"/>
          <a:pathLst>
            <a:path w="696482" h="917914">
              <a:moveTo>
                <a:pt x="404697" y="298049"/>
              </a:moveTo>
              <a:lnTo>
                <a:pt x="420805" y="310863"/>
              </a:lnTo>
              <a:lnTo>
                <a:pt x="455150" y="284955"/>
              </a:lnTo>
              <a:lnTo>
                <a:pt x="458596" y="260079"/>
              </a:lnTo>
              <a:lnTo>
                <a:pt x="478234" y="259097"/>
              </a:lnTo>
              <a:lnTo>
                <a:pt x="526841" y="154307"/>
              </a:lnTo>
              <a:lnTo>
                <a:pt x="508684" y="147157"/>
              </a:lnTo>
              <a:lnTo>
                <a:pt x="511797" y="125322"/>
              </a:lnTo>
              <a:lnTo>
                <a:pt x="529137" y="116380"/>
              </a:lnTo>
              <a:lnTo>
                <a:pt x="512531" y="47144"/>
              </a:lnTo>
              <a:lnTo>
                <a:pt x="518379" y="33237"/>
              </a:lnTo>
              <a:lnTo>
                <a:pt x="487701" y="0"/>
              </a:lnTo>
              <a:lnTo>
                <a:pt x="516753" y="1056"/>
              </a:lnTo>
              <a:lnTo>
                <a:pt x="546904" y="23726"/>
              </a:lnTo>
              <a:lnTo>
                <a:pt x="577161" y="11599"/>
              </a:lnTo>
              <a:lnTo>
                <a:pt x="577161" y="11599"/>
              </a:lnTo>
              <a:lnTo>
                <a:pt x="578239" y="32717"/>
              </a:lnTo>
              <a:lnTo>
                <a:pt x="604838" y="31356"/>
              </a:lnTo>
              <a:lnTo>
                <a:pt x="626172" y="54964"/>
              </a:lnTo>
              <a:lnTo>
                <a:pt x="620723" y="76418"/>
              </a:lnTo>
              <a:lnTo>
                <a:pt x="643702" y="86327"/>
              </a:lnTo>
              <a:lnTo>
                <a:pt x="653017" y="139792"/>
              </a:lnTo>
              <a:lnTo>
                <a:pt x="638038" y="194512"/>
              </a:lnTo>
              <a:lnTo>
                <a:pt x="645409" y="210266"/>
              </a:lnTo>
              <a:lnTo>
                <a:pt x="682050" y="230052"/>
              </a:lnTo>
              <a:lnTo>
                <a:pt x="696481" y="291321"/>
              </a:lnTo>
              <a:lnTo>
                <a:pt x="674032" y="292485"/>
              </a:lnTo>
              <a:lnTo>
                <a:pt x="684040" y="313648"/>
              </a:lnTo>
              <a:lnTo>
                <a:pt x="654541" y="341896"/>
              </a:lnTo>
              <a:lnTo>
                <a:pt x="622779" y="335462"/>
              </a:lnTo>
              <a:lnTo>
                <a:pt x="630311" y="354235"/>
              </a:lnTo>
              <a:lnTo>
                <a:pt x="606518" y="366043"/>
              </a:lnTo>
              <a:lnTo>
                <a:pt x="614177" y="387332"/>
              </a:lnTo>
              <a:lnTo>
                <a:pt x="602459" y="415159"/>
              </a:lnTo>
              <a:lnTo>
                <a:pt x="614235" y="425145"/>
              </a:lnTo>
              <a:lnTo>
                <a:pt x="604797" y="460923"/>
              </a:lnTo>
              <a:lnTo>
                <a:pt x="583954" y="494256"/>
              </a:lnTo>
              <a:lnTo>
                <a:pt x="591263" y="499430"/>
              </a:lnTo>
              <a:lnTo>
                <a:pt x="586284" y="540021"/>
              </a:lnTo>
              <a:lnTo>
                <a:pt x="588895" y="591319"/>
              </a:lnTo>
              <a:lnTo>
                <a:pt x="578869" y="616032"/>
              </a:lnTo>
              <a:lnTo>
                <a:pt x="614819" y="657060"/>
              </a:lnTo>
              <a:lnTo>
                <a:pt x="639085" y="653296"/>
              </a:lnTo>
              <a:lnTo>
                <a:pt x="669985" y="687005"/>
              </a:lnTo>
              <a:lnTo>
                <a:pt x="669985" y="687005"/>
              </a:lnTo>
              <a:lnTo>
                <a:pt x="653937" y="722624"/>
              </a:lnTo>
              <a:lnTo>
                <a:pt x="665617" y="730091"/>
              </a:lnTo>
              <a:lnTo>
                <a:pt x="637620" y="753212"/>
              </a:lnTo>
              <a:lnTo>
                <a:pt x="635836" y="810284"/>
              </a:lnTo>
              <a:lnTo>
                <a:pt x="677738" y="837378"/>
              </a:lnTo>
              <a:lnTo>
                <a:pt x="665922" y="873285"/>
              </a:lnTo>
              <a:lnTo>
                <a:pt x="641347" y="917913"/>
              </a:lnTo>
              <a:lnTo>
                <a:pt x="627616" y="907522"/>
              </a:lnTo>
              <a:lnTo>
                <a:pt x="592166" y="914874"/>
              </a:lnTo>
              <a:lnTo>
                <a:pt x="582416" y="899234"/>
              </a:lnTo>
              <a:lnTo>
                <a:pt x="557907" y="908542"/>
              </a:lnTo>
              <a:lnTo>
                <a:pt x="543780" y="890093"/>
              </a:lnTo>
              <a:lnTo>
                <a:pt x="503102" y="887094"/>
              </a:lnTo>
              <a:lnTo>
                <a:pt x="490338" y="857983"/>
              </a:lnTo>
              <a:lnTo>
                <a:pt x="459322" y="859528"/>
              </a:lnTo>
              <a:lnTo>
                <a:pt x="386599" y="884800"/>
              </a:lnTo>
              <a:lnTo>
                <a:pt x="336191" y="865582"/>
              </a:lnTo>
              <a:lnTo>
                <a:pt x="325693" y="882226"/>
              </a:lnTo>
              <a:lnTo>
                <a:pt x="285352" y="876111"/>
              </a:lnTo>
              <a:lnTo>
                <a:pt x="254401" y="839786"/>
              </a:lnTo>
              <a:lnTo>
                <a:pt x="257206" y="809904"/>
              </a:lnTo>
              <a:lnTo>
                <a:pt x="225697" y="800825"/>
              </a:lnTo>
              <a:lnTo>
                <a:pt x="202123" y="780269"/>
              </a:lnTo>
              <a:lnTo>
                <a:pt x="162204" y="782160"/>
              </a:lnTo>
              <a:lnTo>
                <a:pt x="143221" y="758856"/>
              </a:lnTo>
              <a:lnTo>
                <a:pt x="121178" y="770478"/>
              </a:lnTo>
              <a:lnTo>
                <a:pt x="62574" y="765143"/>
              </a:lnTo>
              <a:lnTo>
                <a:pt x="28237" y="745053"/>
              </a:lnTo>
              <a:lnTo>
                <a:pt x="0" y="714087"/>
              </a:lnTo>
              <a:lnTo>
                <a:pt x="0" y="714087"/>
              </a:lnTo>
              <a:lnTo>
                <a:pt x="53764" y="717155"/>
              </a:lnTo>
              <a:lnTo>
                <a:pt x="61795" y="697626"/>
              </a:lnTo>
              <a:lnTo>
                <a:pt x="33814" y="672202"/>
              </a:lnTo>
              <a:lnTo>
                <a:pt x="55823" y="660094"/>
              </a:lnTo>
              <a:lnTo>
                <a:pt x="81109" y="678076"/>
              </a:lnTo>
              <a:lnTo>
                <a:pt x="116251" y="665344"/>
              </a:lnTo>
              <a:lnTo>
                <a:pt x="110954" y="692815"/>
              </a:lnTo>
              <a:lnTo>
                <a:pt x="132373" y="678199"/>
              </a:lnTo>
              <a:lnTo>
                <a:pt x="122702" y="662520"/>
              </a:lnTo>
              <a:lnTo>
                <a:pt x="122899" y="616635"/>
              </a:lnTo>
              <a:lnTo>
                <a:pt x="142236" y="647991"/>
              </a:lnTo>
              <a:lnTo>
                <a:pt x="158922" y="623005"/>
              </a:lnTo>
              <a:lnTo>
                <a:pt x="152279" y="571897"/>
              </a:lnTo>
              <a:lnTo>
                <a:pt x="126936" y="562504"/>
              </a:lnTo>
              <a:lnTo>
                <a:pt x="133329" y="548592"/>
              </a:lnTo>
              <a:lnTo>
                <a:pt x="106979" y="517565"/>
              </a:lnTo>
              <a:lnTo>
                <a:pt x="114985" y="498034"/>
              </a:lnTo>
              <a:lnTo>
                <a:pt x="144673" y="510248"/>
              </a:lnTo>
              <a:lnTo>
                <a:pt x="182507" y="505937"/>
              </a:lnTo>
              <a:lnTo>
                <a:pt x="168069" y="528300"/>
              </a:lnTo>
              <a:lnTo>
                <a:pt x="201342" y="526719"/>
              </a:lnTo>
              <a:lnTo>
                <a:pt x="280621" y="544090"/>
              </a:lnTo>
              <a:lnTo>
                <a:pt x="266132" y="526136"/>
              </a:lnTo>
              <a:lnTo>
                <a:pt x="312212" y="507773"/>
              </a:lnTo>
              <a:lnTo>
                <a:pt x="301992" y="481045"/>
              </a:lnTo>
              <a:lnTo>
                <a:pt x="309450" y="450938"/>
              </a:lnTo>
              <a:lnTo>
                <a:pt x="299259" y="424713"/>
              </a:lnTo>
              <a:lnTo>
                <a:pt x="333557" y="444723"/>
              </a:lnTo>
              <a:lnTo>
                <a:pt x="365180" y="448217"/>
              </a:lnTo>
              <a:lnTo>
                <a:pt x="367691" y="413307"/>
              </a:lnTo>
              <a:lnTo>
                <a:pt x="385209" y="406900"/>
              </a:lnTo>
              <a:lnTo>
                <a:pt x="355469" y="384161"/>
              </a:lnTo>
              <a:lnTo>
                <a:pt x="388427" y="376996"/>
              </a:lnTo>
              <a:lnTo>
                <a:pt x="408951" y="384049"/>
              </a:lnTo>
              <a:lnTo>
                <a:pt x="448735" y="382074"/>
              </a:lnTo>
              <a:lnTo>
                <a:pt x="447257" y="352402"/>
              </a:lnTo>
              <a:lnTo>
                <a:pt x="404099" y="333369"/>
              </a:lnTo>
              <a:close/>
            </a:path>
          </a:pathLst>
        </a:custGeom>
        <a:solidFill>
          <a:srgbClr val="FF00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152000" tIns="1800000" rtlCol="0" anchor="ctr"/>
        <a:lstStyle/>
        <a:p>
          <a:pPr algn="ctr"/>
          <a:r>
            <a:rPr lang="en-IN" sz="900" b="0">
              <a:latin typeface="Calibri" panose="020F0502020204030204" pitchFamily="34" charset="0"/>
              <a:cs typeface="Calibri" panose="020F0502020204030204" pitchFamily="34" charset="0"/>
            </a:rPr>
            <a:t>BIRBHUM</a:t>
          </a:r>
          <a:endParaRPr lang="en-IN" sz="1000" b="0">
            <a:latin typeface="Calibri" panose="020F0502020204030204" pitchFamily="34" charset="0"/>
            <a:cs typeface="Calibri" panose="020F0502020204030204" pitchFamily="34" charset="0"/>
          </a:endParaRPr>
        </a:p>
      </xdr:txBody>
    </xdr:sp>
    <xdr:clientData/>
  </xdr:twoCellAnchor>
  <xdr:twoCellAnchor editAs="absolute">
    <xdr:from>
      <xdr:col>4</xdr:col>
      <xdr:colOff>518468</xdr:colOff>
      <xdr:row>21</xdr:row>
      <xdr:rowOff>74513</xdr:rowOff>
    </xdr:from>
    <xdr:to>
      <xdr:col>6</xdr:col>
      <xdr:colOff>14660</xdr:colOff>
      <xdr:row>29</xdr:row>
      <xdr:rowOff>54942</xdr:rowOff>
    </xdr:to>
    <xdr:sp macro="" textlink="">
      <xdr:nvSpPr>
        <xdr:cNvPr id="12" name="Freeform 9">
          <a:extLst>
            <a:ext uri="{FF2B5EF4-FFF2-40B4-BE49-F238E27FC236}">
              <a16:creationId xmlns:a16="http://schemas.microsoft.com/office/drawing/2014/main" id="{A7CEEF34-BA9F-45DF-9540-521D42BE9413}"/>
            </a:ext>
          </a:extLst>
        </xdr:cNvPr>
        <xdr:cNvSpPr>
          <a:spLocks noChangeAspect="1"/>
        </xdr:cNvSpPr>
      </xdr:nvSpPr>
      <xdr:spPr>
        <a:xfrm>
          <a:off x="3143134" y="4127930"/>
          <a:ext cx="719626" cy="1523478"/>
        </a:xfrm>
        <a:custGeom>
          <a:avLst/>
          <a:gdLst/>
          <a:ahLst/>
          <a:cxnLst/>
          <a:rect l="0" t="0" r="0" b="0"/>
          <a:pathLst>
            <a:path w="512754" h="1090595">
              <a:moveTo>
                <a:pt x="235464" y="799066"/>
              </a:moveTo>
              <a:lnTo>
                <a:pt x="187167" y="780002"/>
              </a:lnTo>
              <a:lnTo>
                <a:pt x="180317" y="731955"/>
              </a:lnTo>
              <a:lnTo>
                <a:pt x="161253" y="711298"/>
              </a:lnTo>
              <a:lnTo>
                <a:pt x="175353" y="683807"/>
              </a:lnTo>
              <a:lnTo>
                <a:pt x="163023" y="665308"/>
              </a:lnTo>
              <a:lnTo>
                <a:pt x="179605" y="640204"/>
              </a:lnTo>
              <a:lnTo>
                <a:pt x="156617" y="625306"/>
              </a:lnTo>
              <a:lnTo>
                <a:pt x="173765" y="610763"/>
              </a:lnTo>
              <a:lnTo>
                <a:pt x="166011" y="589496"/>
              </a:lnTo>
              <a:lnTo>
                <a:pt x="183614" y="583501"/>
              </a:lnTo>
              <a:lnTo>
                <a:pt x="199578" y="547331"/>
              </a:lnTo>
              <a:lnTo>
                <a:pt x="172478" y="508452"/>
              </a:lnTo>
              <a:lnTo>
                <a:pt x="143503" y="504469"/>
              </a:lnTo>
              <a:lnTo>
                <a:pt x="110222" y="516847"/>
              </a:lnTo>
              <a:lnTo>
                <a:pt x="109225" y="498240"/>
              </a:lnTo>
              <a:lnTo>
                <a:pt x="144219" y="482744"/>
              </a:lnTo>
              <a:lnTo>
                <a:pt x="136908" y="469521"/>
              </a:lnTo>
              <a:lnTo>
                <a:pt x="117293" y="481670"/>
              </a:lnTo>
              <a:lnTo>
                <a:pt x="95066" y="445036"/>
              </a:lnTo>
              <a:lnTo>
                <a:pt x="60078" y="460518"/>
              </a:lnTo>
              <a:lnTo>
                <a:pt x="23646" y="448833"/>
              </a:lnTo>
              <a:lnTo>
                <a:pt x="0" y="420327"/>
              </a:lnTo>
              <a:lnTo>
                <a:pt x="12952" y="371232"/>
              </a:lnTo>
              <a:lnTo>
                <a:pt x="64268" y="371033"/>
              </a:lnTo>
              <a:lnTo>
                <a:pt x="70588" y="357079"/>
              </a:lnTo>
              <a:lnTo>
                <a:pt x="40758" y="345050"/>
              </a:lnTo>
              <a:lnTo>
                <a:pt x="39344" y="318397"/>
              </a:lnTo>
              <a:lnTo>
                <a:pt x="39344" y="318397"/>
              </a:lnTo>
              <a:lnTo>
                <a:pt x="75149" y="319014"/>
              </a:lnTo>
              <a:lnTo>
                <a:pt x="66996" y="289694"/>
              </a:lnTo>
              <a:lnTo>
                <a:pt x="90831" y="277831"/>
              </a:lnTo>
              <a:lnTo>
                <a:pt x="131479" y="281197"/>
              </a:lnTo>
              <a:lnTo>
                <a:pt x="154709" y="258258"/>
              </a:lnTo>
              <a:lnTo>
                <a:pt x="207020" y="277104"/>
              </a:lnTo>
              <a:lnTo>
                <a:pt x="222486" y="232887"/>
              </a:lnTo>
              <a:lnTo>
                <a:pt x="231145" y="262170"/>
              </a:lnTo>
              <a:lnTo>
                <a:pt x="248971" y="261193"/>
              </a:lnTo>
              <a:lnTo>
                <a:pt x="238545" y="199731"/>
              </a:lnTo>
              <a:lnTo>
                <a:pt x="266564" y="179028"/>
              </a:lnTo>
              <a:lnTo>
                <a:pt x="232700" y="170296"/>
              </a:lnTo>
              <a:lnTo>
                <a:pt x="277357" y="127495"/>
              </a:lnTo>
              <a:lnTo>
                <a:pt x="271313" y="103116"/>
              </a:lnTo>
              <a:lnTo>
                <a:pt x="291320" y="99490"/>
              </a:lnTo>
              <a:lnTo>
                <a:pt x="295791" y="61417"/>
              </a:lnTo>
              <a:lnTo>
                <a:pt x="325582" y="73382"/>
              </a:lnTo>
              <a:lnTo>
                <a:pt x="352511" y="109708"/>
              </a:lnTo>
              <a:lnTo>
                <a:pt x="373180" y="84343"/>
              </a:lnTo>
              <a:lnTo>
                <a:pt x="356963" y="71633"/>
              </a:lnTo>
              <a:lnTo>
                <a:pt x="369998" y="27530"/>
              </a:lnTo>
              <a:lnTo>
                <a:pt x="411385" y="3518"/>
              </a:lnTo>
              <a:lnTo>
                <a:pt x="411385" y="3518"/>
              </a:lnTo>
              <a:lnTo>
                <a:pt x="429031" y="0"/>
              </a:lnTo>
              <a:lnTo>
                <a:pt x="437575" y="34822"/>
              </a:lnTo>
              <a:lnTo>
                <a:pt x="434060" y="88988"/>
              </a:lnTo>
              <a:lnTo>
                <a:pt x="457962" y="79565"/>
              </a:lnTo>
              <a:lnTo>
                <a:pt x="468061" y="100176"/>
              </a:lnTo>
              <a:lnTo>
                <a:pt x="439015" y="101822"/>
              </a:lnTo>
              <a:lnTo>
                <a:pt x="448021" y="144689"/>
              </a:lnTo>
              <a:lnTo>
                <a:pt x="442370" y="161148"/>
              </a:lnTo>
              <a:lnTo>
                <a:pt x="420339" y="162392"/>
              </a:lnTo>
              <a:lnTo>
                <a:pt x="393563" y="204752"/>
              </a:lnTo>
              <a:lnTo>
                <a:pt x="364772" y="211408"/>
              </a:lnTo>
              <a:lnTo>
                <a:pt x="335251" y="204984"/>
              </a:lnTo>
              <a:lnTo>
                <a:pt x="326956" y="216541"/>
              </a:lnTo>
              <a:lnTo>
                <a:pt x="349362" y="255643"/>
              </a:lnTo>
              <a:lnTo>
                <a:pt x="332877" y="280770"/>
              </a:lnTo>
              <a:lnTo>
                <a:pt x="315047" y="281759"/>
              </a:lnTo>
              <a:lnTo>
                <a:pt x="334385" y="307922"/>
              </a:lnTo>
              <a:lnTo>
                <a:pt x="322699" y="343371"/>
              </a:lnTo>
              <a:lnTo>
                <a:pt x="331672" y="386249"/>
              </a:lnTo>
              <a:lnTo>
                <a:pt x="326574" y="413264"/>
              </a:lnTo>
              <a:lnTo>
                <a:pt x="346772" y="412142"/>
              </a:lnTo>
              <a:lnTo>
                <a:pt x="348730" y="447339"/>
              </a:lnTo>
              <a:lnTo>
                <a:pt x="384131" y="439817"/>
              </a:lnTo>
              <a:lnTo>
                <a:pt x="402059" y="482190"/>
              </a:lnTo>
              <a:lnTo>
                <a:pt x="433322" y="518264"/>
              </a:lnTo>
              <a:lnTo>
                <a:pt x="458383" y="519372"/>
              </a:lnTo>
              <a:lnTo>
                <a:pt x="470733" y="545912"/>
              </a:lnTo>
              <a:lnTo>
                <a:pt x="512753" y="529906"/>
              </a:lnTo>
              <a:lnTo>
                <a:pt x="508917" y="578549"/>
              </a:lnTo>
              <a:lnTo>
                <a:pt x="490429" y="577078"/>
              </a:lnTo>
              <a:lnTo>
                <a:pt x="482516" y="628976"/>
              </a:lnTo>
              <a:lnTo>
                <a:pt x="490331" y="650223"/>
              </a:lnTo>
              <a:lnTo>
                <a:pt x="470689" y="661928"/>
              </a:lnTo>
              <a:lnTo>
                <a:pt x="479413" y="699266"/>
              </a:lnTo>
              <a:lnTo>
                <a:pt x="454928" y="700649"/>
              </a:lnTo>
              <a:lnTo>
                <a:pt x="444391" y="714862"/>
              </a:lnTo>
              <a:lnTo>
                <a:pt x="465691" y="732324"/>
              </a:lnTo>
              <a:lnTo>
                <a:pt x="466601" y="748413"/>
              </a:lnTo>
              <a:lnTo>
                <a:pt x="489981" y="760710"/>
              </a:lnTo>
              <a:lnTo>
                <a:pt x="489981" y="760710"/>
              </a:lnTo>
              <a:lnTo>
                <a:pt x="458558" y="765008"/>
              </a:lnTo>
              <a:lnTo>
                <a:pt x="468361" y="821453"/>
              </a:lnTo>
              <a:lnTo>
                <a:pt x="450761" y="827994"/>
              </a:lnTo>
              <a:lnTo>
                <a:pt x="459334" y="854244"/>
              </a:lnTo>
              <a:lnTo>
                <a:pt x="438820" y="893229"/>
              </a:lnTo>
              <a:lnTo>
                <a:pt x="455913" y="919504"/>
              </a:lnTo>
              <a:lnTo>
                <a:pt x="451260" y="954570"/>
              </a:lnTo>
              <a:lnTo>
                <a:pt x="437211" y="982596"/>
              </a:lnTo>
              <a:lnTo>
                <a:pt x="436162" y="1090594"/>
              </a:lnTo>
              <a:lnTo>
                <a:pt x="406895" y="1084161"/>
              </a:lnTo>
              <a:lnTo>
                <a:pt x="391851" y="1060790"/>
              </a:lnTo>
              <a:lnTo>
                <a:pt x="325617" y="1045294"/>
              </a:lnTo>
              <a:lnTo>
                <a:pt x="291949" y="1044624"/>
              </a:lnTo>
              <a:lnTo>
                <a:pt x="280010" y="1034183"/>
              </a:lnTo>
              <a:lnTo>
                <a:pt x="241760" y="1036271"/>
              </a:lnTo>
              <a:lnTo>
                <a:pt x="241760" y="1036271"/>
              </a:lnTo>
              <a:lnTo>
                <a:pt x="235623" y="1001806"/>
              </a:lnTo>
              <a:lnTo>
                <a:pt x="245001" y="974060"/>
              </a:lnTo>
              <a:lnTo>
                <a:pt x="264553" y="959376"/>
              </a:lnTo>
              <a:lnTo>
                <a:pt x="280142" y="915652"/>
              </a:lnTo>
              <a:lnTo>
                <a:pt x="306727" y="908644"/>
              </a:lnTo>
              <a:lnTo>
                <a:pt x="293667" y="869013"/>
              </a:lnTo>
              <a:lnTo>
                <a:pt x="271032" y="870255"/>
              </a:lnTo>
              <a:lnTo>
                <a:pt x="263550" y="854525"/>
              </a:lnTo>
              <a:lnTo>
                <a:pt x="278515" y="799739"/>
              </a:lnTo>
              <a:lnTo>
                <a:pt x="266296" y="783764"/>
              </a:lnTo>
              <a:close/>
            </a:path>
          </a:pathLst>
        </a:custGeom>
        <a:solidFill>
          <a:srgbClr val="FF00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08000" tIns="1764000" rIns="72000" rtlCol="0" anchor="ctr"/>
        <a:lstStyle/>
        <a:p>
          <a:pPr algn="ctr"/>
          <a:r>
            <a:rPr lang="en-IN" sz="900">
              <a:latin typeface="Calibri" panose="020F0502020204030204" pitchFamily="34" charset="0"/>
              <a:cs typeface="Calibri" panose="020F0502020204030204" pitchFamily="34" charset="0"/>
            </a:rPr>
            <a:t>NADIA</a:t>
          </a:r>
        </a:p>
      </xdr:txBody>
    </xdr:sp>
    <xdr:clientData/>
  </xdr:twoCellAnchor>
  <xdr:twoCellAnchor editAs="absolute">
    <xdr:from>
      <xdr:col>2</xdr:col>
      <xdr:colOff>289866</xdr:colOff>
      <xdr:row>23</xdr:row>
      <xdr:rowOff>35420</xdr:rowOff>
    </xdr:from>
    <xdr:to>
      <xdr:col>5</xdr:col>
      <xdr:colOff>235097</xdr:colOff>
      <xdr:row>29</xdr:row>
      <xdr:rowOff>25661</xdr:rowOff>
    </xdr:to>
    <xdr:sp macro="" textlink="">
      <xdr:nvSpPr>
        <xdr:cNvPr id="13" name="Freeform 10">
          <a:extLst>
            <a:ext uri="{FF2B5EF4-FFF2-40B4-BE49-F238E27FC236}">
              <a16:creationId xmlns:a16="http://schemas.microsoft.com/office/drawing/2014/main" id="{B12E8BA9-1A1D-4679-A958-6BECEE816022}"/>
            </a:ext>
          </a:extLst>
        </xdr:cNvPr>
        <xdr:cNvSpPr>
          <a:spLocks noChangeAspect="1"/>
        </xdr:cNvSpPr>
      </xdr:nvSpPr>
      <xdr:spPr>
        <a:xfrm>
          <a:off x="1699566" y="4488886"/>
          <a:ext cx="1774031" cy="1133241"/>
        </a:xfrm>
        <a:custGeom>
          <a:avLst/>
          <a:gdLst/>
          <a:ahLst/>
          <a:cxnLst/>
          <a:rect l="0" t="0" r="0" b="0"/>
          <a:pathLst>
            <a:path w="1264048" h="811241">
              <a:moveTo>
                <a:pt x="1067927" y="60004"/>
              </a:moveTo>
              <a:lnTo>
                <a:pt x="1069341" y="86657"/>
              </a:lnTo>
              <a:lnTo>
                <a:pt x="1099171" y="98686"/>
              </a:lnTo>
              <a:lnTo>
                <a:pt x="1092851" y="112640"/>
              </a:lnTo>
              <a:lnTo>
                <a:pt x="1041535" y="112839"/>
              </a:lnTo>
              <a:lnTo>
                <a:pt x="1028583" y="161934"/>
              </a:lnTo>
              <a:lnTo>
                <a:pt x="1052229" y="190440"/>
              </a:lnTo>
              <a:lnTo>
                <a:pt x="1088661" y="202125"/>
              </a:lnTo>
              <a:lnTo>
                <a:pt x="1123649" y="186643"/>
              </a:lnTo>
              <a:lnTo>
                <a:pt x="1145876" y="223277"/>
              </a:lnTo>
              <a:lnTo>
                <a:pt x="1165491" y="211128"/>
              </a:lnTo>
              <a:lnTo>
                <a:pt x="1172802" y="224351"/>
              </a:lnTo>
              <a:lnTo>
                <a:pt x="1137808" y="239847"/>
              </a:lnTo>
              <a:lnTo>
                <a:pt x="1138805" y="258454"/>
              </a:lnTo>
              <a:lnTo>
                <a:pt x="1172086" y="246076"/>
              </a:lnTo>
              <a:lnTo>
                <a:pt x="1201061" y="250059"/>
              </a:lnTo>
              <a:lnTo>
                <a:pt x="1228161" y="288938"/>
              </a:lnTo>
              <a:lnTo>
                <a:pt x="1212197" y="325108"/>
              </a:lnTo>
              <a:lnTo>
                <a:pt x="1194594" y="331103"/>
              </a:lnTo>
              <a:lnTo>
                <a:pt x="1202348" y="352370"/>
              </a:lnTo>
              <a:lnTo>
                <a:pt x="1185200" y="366913"/>
              </a:lnTo>
              <a:lnTo>
                <a:pt x="1208188" y="381811"/>
              </a:lnTo>
              <a:lnTo>
                <a:pt x="1191606" y="406915"/>
              </a:lnTo>
              <a:lnTo>
                <a:pt x="1203936" y="425414"/>
              </a:lnTo>
              <a:lnTo>
                <a:pt x="1189836" y="452905"/>
              </a:lnTo>
              <a:lnTo>
                <a:pt x="1208900" y="473562"/>
              </a:lnTo>
              <a:lnTo>
                <a:pt x="1215750" y="521609"/>
              </a:lnTo>
              <a:lnTo>
                <a:pt x="1264047" y="540673"/>
              </a:lnTo>
              <a:lnTo>
                <a:pt x="1264047" y="540673"/>
              </a:lnTo>
              <a:lnTo>
                <a:pt x="1229839" y="572289"/>
              </a:lnTo>
              <a:lnTo>
                <a:pt x="1228374" y="623811"/>
              </a:lnTo>
              <a:lnTo>
                <a:pt x="1214263" y="616505"/>
              </a:lnTo>
              <a:lnTo>
                <a:pt x="1156259" y="619625"/>
              </a:lnTo>
              <a:lnTo>
                <a:pt x="1139204" y="601373"/>
              </a:lnTo>
              <a:lnTo>
                <a:pt x="1078584" y="599552"/>
              </a:lnTo>
              <a:lnTo>
                <a:pt x="1064487" y="672917"/>
              </a:lnTo>
              <a:lnTo>
                <a:pt x="1042976" y="695735"/>
              </a:lnTo>
              <a:lnTo>
                <a:pt x="991829" y="703959"/>
              </a:lnTo>
              <a:lnTo>
                <a:pt x="984250" y="731080"/>
              </a:lnTo>
              <a:lnTo>
                <a:pt x="994476" y="754753"/>
              </a:lnTo>
              <a:lnTo>
                <a:pt x="960901" y="764567"/>
              </a:lnTo>
              <a:lnTo>
                <a:pt x="964122" y="781041"/>
              </a:lnTo>
              <a:lnTo>
                <a:pt x="932954" y="782653"/>
              </a:lnTo>
              <a:lnTo>
                <a:pt x="911115" y="799914"/>
              </a:lnTo>
              <a:lnTo>
                <a:pt x="830477" y="806553"/>
              </a:lnTo>
              <a:lnTo>
                <a:pt x="816093" y="793667"/>
              </a:lnTo>
              <a:lnTo>
                <a:pt x="787621" y="811240"/>
              </a:lnTo>
              <a:lnTo>
                <a:pt x="780072" y="792963"/>
              </a:lnTo>
              <a:lnTo>
                <a:pt x="757000" y="786053"/>
              </a:lnTo>
              <a:lnTo>
                <a:pt x="732922" y="749440"/>
              </a:lnTo>
              <a:lnTo>
                <a:pt x="732922" y="749440"/>
              </a:lnTo>
              <a:lnTo>
                <a:pt x="754152" y="729218"/>
              </a:lnTo>
              <a:lnTo>
                <a:pt x="768179" y="688175"/>
              </a:lnTo>
              <a:lnTo>
                <a:pt x="738994" y="643753"/>
              </a:lnTo>
              <a:lnTo>
                <a:pt x="712108" y="645094"/>
              </a:lnTo>
              <a:lnTo>
                <a:pt x="675085" y="584913"/>
              </a:lnTo>
              <a:lnTo>
                <a:pt x="680287" y="546838"/>
              </a:lnTo>
              <a:lnTo>
                <a:pt x="636607" y="532860"/>
              </a:lnTo>
              <a:lnTo>
                <a:pt x="600910" y="488728"/>
              </a:lnTo>
              <a:lnTo>
                <a:pt x="556334" y="455605"/>
              </a:lnTo>
              <a:lnTo>
                <a:pt x="511501" y="406850"/>
              </a:lnTo>
              <a:lnTo>
                <a:pt x="463249" y="384461"/>
              </a:lnTo>
              <a:lnTo>
                <a:pt x="359129" y="316792"/>
              </a:lnTo>
              <a:lnTo>
                <a:pt x="328322" y="282943"/>
              </a:lnTo>
              <a:lnTo>
                <a:pt x="258337" y="267537"/>
              </a:lnTo>
              <a:lnTo>
                <a:pt x="173255" y="220009"/>
              </a:lnTo>
              <a:lnTo>
                <a:pt x="97362" y="228974"/>
              </a:lnTo>
              <a:lnTo>
                <a:pt x="83238" y="218515"/>
              </a:lnTo>
              <a:lnTo>
                <a:pt x="83238" y="218515"/>
              </a:lnTo>
              <a:lnTo>
                <a:pt x="53854" y="203692"/>
              </a:lnTo>
              <a:lnTo>
                <a:pt x="45980" y="185390"/>
              </a:lnTo>
              <a:lnTo>
                <a:pt x="5444" y="173570"/>
              </a:lnTo>
              <a:lnTo>
                <a:pt x="5444" y="173570"/>
              </a:lnTo>
              <a:lnTo>
                <a:pt x="20099" y="100337"/>
              </a:lnTo>
              <a:lnTo>
                <a:pt x="0" y="49807"/>
              </a:lnTo>
              <a:lnTo>
                <a:pt x="0" y="49807"/>
              </a:lnTo>
              <a:lnTo>
                <a:pt x="22880" y="67449"/>
              </a:lnTo>
              <a:lnTo>
                <a:pt x="57232" y="36186"/>
              </a:lnTo>
              <a:lnTo>
                <a:pt x="67306" y="9021"/>
              </a:lnTo>
              <a:lnTo>
                <a:pt x="85021" y="5710"/>
              </a:lnTo>
              <a:lnTo>
                <a:pt x="113210" y="36707"/>
              </a:lnTo>
              <a:lnTo>
                <a:pt x="128302" y="16872"/>
              </a:lnTo>
              <a:lnTo>
                <a:pt x="182773" y="36079"/>
              </a:lnTo>
              <a:lnTo>
                <a:pt x="219798" y="64130"/>
              </a:lnTo>
              <a:lnTo>
                <a:pt x="219798" y="64130"/>
              </a:lnTo>
              <a:lnTo>
                <a:pt x="248035" y="95096"/>
              </a:lnTo>
              <a:lnTo>
                <a:pt x="282372" y="115186"/>
              </a:lnTo>
              <a:lnTo>
                <a:pt x="340976" y="120521"/>
              </a:lnTo>
              <a:lnTo>
                <a:pt x="363019" y="108899"/>
              </a:lnTo>
              <a:lnTo>
                <a:pt x="382002" y="132203"/>
              </a:lnTo>
              <a:lnTo>
                <a:pt x="421921" y="130312"/>
              </a:lnTo>
              <a:lnTo>
                <a:pt x="445495" y="150868"/>
              </a:lnTo>
              <a:lnTo>
                <a:pt x="477004" y="159947"/>
              </a:lnTo>
              <a:lnTo>
                <a:pt x="474199" y="189829"/>
              </a:lnTo>
              <a:lnTo>
                <a:pt x="505150" y="226154"/>
              </a:lnTo>
              <a:lnTo>
                <a:pt x="545491" y="232269"/>
              </a:lnTo>
              <a:lnTo>
                <a:pt x="555989" y="215625"/>
              </a:lnTo>
              <a:lnTo>
                <a:pt x="606397" y="234843"/>
              </a:lnTo>
              <a:lnTo>
                <a:pt x="679120" y="209571"/>
              </a:lnTo>
              <a:lnTo>
                <a:pt x="710136" y="208026"/>
              </a:lnTo>
              <a:lnTo>
                <a:pt x="722900" y="237137"/>
              </a:lnTo>
              <a:lnTo>
                <a:pt x="763578" y="240136"/>
              </a:lnTo>
              <a:lnTo>
                <a:pt x="777705" y="258585"/>
              </a:lnTo>
              <a:lnTo>
                <a:pt x="802214" y="249277"/>
              </a:lnTo>
              <a:lnTo>
                <a:pt x="811964" y="264917"/>
              </a:lnTo>
              <a:lnTo>
                <a:pt x="847414" y="257565"/>
              </a:lnTo>
              <a:lnTo>
                <a:pt x="861145" y="267956"/>
              </a:lnTo>
              <a:lnTo>
                <a:pt x="885720" y="223328"/>
              </a:lnTo>
              <a:lnTo>
                <a:pt x="897536" y="187421"/>
              </a:lnTo>
              <a:lnTo>
                <a:pt x="855634" y="160327"/>
              </a:lnTo>
              <a:lnTo>
                <a:pt x="857418" y="103255"/>
              </a:lnTo>
              <a:lnTo>
                <a:pt x="885415" y="80134"/>
              </a:lnTo>
              <a:lnTo>
                <a:pt x="873735" y="72667"/>
              </a:lnTo>
              <a:lnTo>
                <a:pt x="889783" y="37048"/>
              </a:lnTo>
              <a:lnTo>
                <a:pt x="889783" y="37048"/>
              </a:lnTo>
              <a:lnTo>
                <a:pt x="890444" y="4237"/>
              </a:lnTo>
              <a:lnTo>
                <a:pt x="923622" y="0"/>
              </a:lnTo>
              <a:lnTo>
                <a:pt x="941194" y="39428"/>
              </a:lnTo>
              <a:lnTo>
                <a:pt x="962501" y="60003"/>
              </a:lnTo>
              <a:lnTo>
                <a:pt x="945241" y="71995"/>
              </a:lnTo>
              <a:lnTo>
                <a:pt x="960530" y="103473"/>
              </a:lnTo>
              <a:lnTo>
                <a:pt x="980852" y="104933"/>
              </a:lnTo>
              <a:lnTo>
                <a:pt x="990097" y="74697"/>
              </a:lnTo>
              <a:lnTo>
                <a:pt x="1015134" y="76408"/>
              </a:lnTo>
              <a:lnTo>
                <a:pt x="1022553" y="92155"/>
              </a:lnTo>
              <a:close/>
            </a:path>
          </a:pathLst>
        </a:custGeom>
        <a:solidFill>
          <a:srgbClr val="FF66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520000" tIns="1080000" rtlCol="0" anchor="ctr"/>
        <a:lstStyle/>
        <a:p>
          <a:pPr algn="ctr"/>
          <a:r>
            <a:rPr lang="en-IN" sz="900">
              <a:latin typeface="Calibri" panose="020F0502020204030204" pitchFamily="34" charset="0"/>
              <a:cs typeface="Calibri" panose="020F0502020204030204" pitchFamily="34" charset="0"/>
            </a:rPr>
            <a:t>BURDWAN</a:t>
          </a:r>
        </a:p>
      </xdr:txBody>
    </xdr:sp>
    <xdr:clientData/>
  </xdr:twoCellAnchor>
  <xdr:twoCellAnchor editAs="absolute">
    <xdr:from>
      <xdr:col>0</xdr:col>
      <xdr:colOff>696373</xdr:colOff>
      <xdr:row>24</xdr:row>
      <xdr:rowOff>87385</xdr:rowOff>
    </xdr:from>
    <xdr:to>
      <xdr:col>2</xdr:col>
      <xdr:colOff>423691</xdr:colOff>
      <xdr:row>30</xdr:row>
      <xdr:rowOff>174793</xdr:rowOff>
    </xdr:to>
    <xdr:sp macro="" textlink="">
      <xdr:nvSpPr>
        <xdr:cNvPr id="14" name="Freeform 11">
          <a:extLst>
            <a:ext uri="{FF2B5EF4-FFF2-40B4-BE49-F238E27FC236}">
              <a16:creationId xmlns:a16="http://schemas.microsoft.com/office/drawing/2014/main" id="{E34AF7D8-027B-4BFF-8AA6-4585DCF8044C}"/>
            </a:ext>
          </a:extLst>
        </xdr:cNvPr>
        <xdr:cNvSpPr>
          <a:spLocks noChangeAspect="1"/>
        </xdr:cNvSpPr>
      </xdr:nvSpPr>
      <xdr:spPr>
        <a:xfrm>
          <a:off x="692140" y="4731351"/>
          <a:ext cx="1132536" cy="1230408"/>
        </a:xfrm>
        <a:custGeom>
          <a:avLst/>
          <a:gdLst/>
          <a:ahLst/>
          <a:cxnLst/>
          <a:rect l="0" t="0" r="0" b="0"/>
          <a:pathLst>
            <a:path w="806964" h="880798">
              <a:moveTo>
                <a:pt x="801058" y="44945"/>
              </a:moveTo>
              <a:lnTo>
                <a:pt x="787115" y="80853"/>
              </a:lnTo>
              <a:lnTo>
                <a:pt x="787047" y="132274"/>
              </a:lnTo>
              <a:lnTo>
                <a:pt x="806963" y="177260"/>
              </a:lnTo>
              <a:lnTo>
                <a:pt x="788838" y="172523"/>
              </a:lnTo>
              <a:lnTo>
                <a:pt x="783212" y="194449"/>
              </a:lnTo>
              <a:lnTo>
                <a:pt x="745339" y="201671"/>
              </a:lnTo>
              <a:lnTo>
                <a:pt x="746515" y="228336"/>
              </a:lnTo>
              <a:lnTo>
                <a:pt x="780517" y="229352"/>
              </a:lnTo>
              <a:lnTo>
                <a:pt x="763721" y="254797"/>
              </a:lnTo>
              <a:lnTo>
                <a:pt x="766539" y="275844"/>
              </a:lnTo>
              <a:lnTo>
                <a:pt x="725703" y="312931"/>
              </a:lnTo>
              <a:lnTo>
                <a:pt x="716403" y="359211"/>
              </a:lnTo>
              <a:lnTo>
                <a:pt x="730915" y="431667"/>
              </a:lnTo>
              <a:lnTo>
                <a:pt x="706967" y="445822"/>
              </a:lnTo>
              <a:lnTo>
                <a:pt x="675939" y="514720"/>
              </a:lnTo>
              <a:lnTo>
                <a:pt x="706138" y="535081"/>
              </a:lnTo>
              <a:lnTo>
                <a:pt x="690437" y="587181"/>
              </a:lnTo>
              <a:lnTo>
                <a:pt x="696801" y="624711"/>
              </a:lnTo>
              <a:lnTo>
                <a:pt x="671848" y="682250"/>
              </a:lnTo>
              <a:lnTo>
                <a:pt x="684826" y="719492"/>
              </a:lnTo>
              <a:lnTo>
                <a:pt x="683052" y="733179"/>
              </a:lnTo>
              <a:lnTo>
                <a:pt x="612059" y="800756"/>
              </a:lnTo>
              <a:lnTo>
                <a:pt x="612059" y="800756"/>
              </a:lnTo>
              <a:lnTo>
                <a:pt x="603995" y="833864"/>
              </a:lnTo>
              <a:lnTo>
                <a:pt x="578970" y="880797"/>
              </a:lnTo>
              <a:lnTo>
                <a:pt x="578970" y="880797"/>
              </a:lnTo>
              <a:lnTo>
                <a:pt x="520414" y="875203"/>
              </a:lnTo>
              <a:lnTo>
                <a:pt x="498485" y="838320"/>
              </a:lnTo>
              <a:lnTo>
                <a:pt x="468585" y="825957"/>
              </a:lnTo>
              <a:lnTo>
                <a:pt x="499909" y="713764"/>
              </a:lnTo>
              <a:lnTo>
                <a:pt x="476793" y="693056"/>
              </a:lnTo>
              <a:lnTo>
                <a:pt x="504945" y="675751"/>
              </a:lnTo>
              <a:lnTo>
                <a:pt x="541327" y="674221"/>
              </a:lnTo>
              <a:lnTo>
                <a:pt x="555215" y="633310"/>
              </a:lnTo>
              <a:lnTo>
                <a:pt x="540435" y="653089"/>
              </a:lnTo>
              <a:lnTo>
                <a:pt x="521101" y="632229"/>
              </a:lnTo>
              <a:lnTo>
                <a:pt x="496751" y="638291"/>
              </a:lnTo>
              <a:lnTo>
                <a:pt x="460518" y="631737"/>
              </a:lnTo>
              <a:lnTo>
                <a:pt x="445723" y="651504"/>
              </a:lnTo>
              <a:lnTo>
                <a:pt x="417905" y="630979"/>
              </a:lnTo>
              <a:lnTo>
                <a:pt x="400287" y="639768"/>
              </a:lnTo>
              <a:lnTo>
                <a:pt x="370344" y="624864"/>
              </a:lnTo>
              <a:lnTo>
                <a:pt x="323541" y="637348"/>
              </a:lnTo>
              <a:lnTo>
                <a:pt x="323541" y="637348"/>
              </a:lnTo>
              <a:lnTo>
                <a:pt x="305713" y="641090"/>
              </a:lnTo>
              <a:lnTo>
                <a:pt x="293508" y="619909"/>
              </a:lnTo>
              <a:lnTo>
                <a:pt x="275662" y="623144"/>
              </a:lnTo>
              <a:lnTo>
                <a:pt x="225564" y="552560"/>
              </a:lnTo>
              <a:lnTo>
                <a:pt x="210087" y="555692"/>
              </a:lnTo>
              <a:lnTo>
                <a:pt x="173484" y="538483"/>
              </a:lnTo>
              <a:lnTo>
                <a:pt x="160998" y="509236"/>
              </a:lnTo>
              <a:lnTo>
                <a:pt x="122779" y="510722"/>
              </a:lnTo>
              <a:lnTo>
                <a:pt x="71965" y="528806"/>
              </a:lnTo>
              <a:lnTo>
                <a:pt x="53303" y="510369"/>
              </a:lnTo>
              <a:lnTo>
                <a:pt x="53303" y="510369"/>
              </a:lnTo>
              <a:lnTo>
                <a:pt x="26768" y="471061"/>
              </a:lnTo>
              <a:lnTo>
                <a:pt x="8939" y="474255"/>
              </a:lnTo>
              <a:lnTo>
                <a:pt x="0" y="412605"/>
              </a:lnTo>
              <a:lnTo>
                <a:pt x="36253" y="360331"/>
              </a:lnTo>
              <a:lnTo>
                <a:pt x="27636" y="319837"/>
              </a:lnTo>
              <a:lnTo>
                <a:pt x="40780" y="305730"/>
              </a:lnTo>
              <a:lnTo>
                <a:pt x="18903" y="263724"/>
              </a:lnTo>
              <a:lnTo>
                <a:pt x="18903" y="263724"/>
              </a:lnTo>
              <a:lnTo>
                <a:pt x="31026" y="222946"/>
              </a:lnTo>
              <a:lnTo>
                <a:pt x="31026" y="222946"/>
              </a:lnTo>
              <a:lnTo>
                <a:pt x="42208" y="219497"/>
              </a:lnTo>
              <a:lnTo>
                <a:pt x="83145" y="242119"/>
              </a:lnTo>
              <a:lnTo>
                <a:pt x="117986" y="216582"/>
              </a:lnTo>
              <a:lnTo>
                <a:pt x="160285" y="201326"/>
              </a:lnTo>
              <a:lnTo>
                <a:pt x="128700" y="140568"/>
              </a:lnTo>
              <a:lnTo>
                <a:pt x="172850" y="125235"/>
              </a:lnTo>
              <a:lnTo>
                <a:pt x="179771" y="133531"/>
              </a:lnTo>
              <a:lnTo>
                <a:pt x="229036" y="128559"/>
              </a:lnTo>
              <a:lnTo>
                <a:pt x="238733" y="147325"/>
              </a:lnTo>
              <a:lnTo>
                <a:pt x="233009" y="169224"/>
              </a:lnTo>
              <a:lnTo>
                <a:pt x="242690" y="187487"/>
              </a:lnTo>
              <a:lnTo>
                <a:pt x="236713" y="214941"/>
              </a:lnTo>
              <a:lnTo>
                <a:pt x="298077" y="228612"/>
              </a:lnTo>
              <a:lnTo>
                <a:pt x="314913" y="260189"/>
              </a:lnTo>
              <a:lnTo>
                <a:pt x="320954" y="246336"/>
              </a:lnTo>
              <a:lnTo>
                <a:pt x="356876" y="236812"/>
              </a:lnTo>
              <a:lnTo>
                <a:pt x="396227" y="219071"/>
              </a:lnTo>
              <a:lnTo>
                <a:pt x="405407" y="167282"/>
              </a:lnTo>
              <a:lnTo>
                <a:pt x="399376" y="135272"/>
              </a:lnTo>
              <a:lnTo>
                <a:pt x="416021" y="104848"/>
              </a:lnTo>
              <a:lnTo>
                <a:pt x="432113" y="106701"/>
              </a:lnTo>
              <a:lnTo>
                <a:pt x="454992" y="67947"/>
              </a:lnTo>
              <a:lnTo>
                <a:pt x="472855" y="67201"/>
              </a:lnTo>
              <a:lnTo>
                <a:pt x="472855" y="67201"/>
              </a:lnTo>
              <a:lnTo>
                <a:pt x="524563" y="65026"/>
              </a:lnTo>
              <a:lnTo>
                <a:pt x="569853" y="33868"/>
              </a:lnTo>
              <a:lnTo>
                <a:pt x="647045" y="808"/>
              </a:lnTo>
              <a:lnTo>
                <a:pt x="694730" y="14862"/>
              </a:lnTo>
              <a:lnTo>
                <a:pt x="723264" y="0"/>
              </a:lnTo>
              <a:lnTo>
                <a:pt x="723264" y="0"/>
              </a:lnTo>
              <a:lnTo>
                <a:pt x="763800" y="11820"/>
              </a:lnTo>
              <a:lnTo>
                <a:pt x="771674" y="30122"/>
              </a:lnTo>
              <a:close/>
            </a:path>
          </a:pathLst>
        </a:custGeom>
        <a:solidFill>
          <a:srgbClr val="FF66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00000" tIns="936000" rtlCol="0" anchor="t"/>
        <a:lstStyle/>
        <a:p>
          <a:pPr algn="l"/>
          <a:r>
            <a:rPr lang="en-IN" sz="900">
              <a:latin typeface="Calibri" panose="020F0502020204030204" pitchFamily="34" charset="0"/>
              <a:cs typeface="Calibri" panose="020F0502020204030204" pitchFamily="34" charset="0"/>
            </a:rPr>
            <a:t>PURULIA</a:t>
          </a:r>
        </a:p>
      </xdr:txBody>
    </xdr:sp>
    <xdr:clientData/>
  </xdr:twoCellAnchor>
  <xdr:twoCellAnchor editAs="absolute">
    <xdr:from>
      <xdr:col>2</xdr:col>
      <xdr:colOff>141435</xdr:colOff>
      <xdr:row>24</xdr:row>
      <xdr:rowOff>150169</xdr:rowOff>
    </xdr:from>
    <xdr:to>
      <xdr:col>4</xdr:col>
      <xdr:colOff>148769</xdr:colOff>
      <xdr:row>31</xdr:row>
      <xdr:rowOff>76319</xdr:rowOff>
    </xdr:to>
    <xdr:sp macro="" textlink="">
      <xdr:nvSpPr>
        <xdr:cNvPr id="15" name="Freeform 12">
          <a:extLst>
            <a:ext uri="{FF2B5EF4-FFF2-40B4-BE49-F238E27FC236}">
              <a16:creationId xmlns:a16="http://schemas.microsoft.com/office/drawing/2014/main" id="{F0706FE1-8279-46C7-923B-AFFAF4FBF303}"/>
            </a:ext>
          </a:extLst>
        </xdr:cNvPr>
        <xdr:cNvSpPr>
          <a:spLocks noChangeAspect="1"/>
        </xdr:cNvSpPr>
      </xdr:nvSpPr>
      <xdr:spPr>
        <a:xfrm>
          <a:off x="1551135" y="4794135"/>
          <a:ext cx="1226534" cy="1259650"/>
        </a:xfrm>
        <a:custGeom>
          <a:avLst/>
          <a:gdLst/>
          <a:ahLst/>
          <a:cxnLst/>
          <a:rect l="0" t="0" r="0" b="0"/>
          <a:pathLst>
            <a:path w="873941" h="901731">
              <a:moveTo>
                <a:pt x="188999" y="0"/>
              </a:moveTo>
              <a:lnTo>
                <a:pt x="203123" y="10459"/>
              </a:lnTo>
              <a:lnTo>
                <a:pt x="279016" y="1494"/>
              </a:lnTo>
              <a:lnTo>
                <a:pt x="364098" y="49022"/>
              </a:lnTo>
              <a:lnTo>
                <a:pt x="434083" y="64428"/>
              </a:lnTo>
              <a:lnTo>
                <a:pt x="464890" y="98277"/>
              </a:lnTo>
              <a:lnTo>
                <a:pt x="569010" y="165946"/>
              </a:lnTo>
              <a:lnTo>
                <a:pt x="617262" y="188335"/>
              </a:lnTo>
              <a:lnTo>
                <a:pt x="662095" y="237090"/>
              </a:lnTo>
              <a:lnTo>
                <a:pt x="706671" y="270213"/>
              </a:lnTo>
              <a:lnTo>
                <a:pt x="742368" y="314345"/>
              </a:lnTo>
              <a:lnTo>
                <a:pt x="786048" y="328323"/>
              </a:lnTo>
              <a:lnTo>
                <a:pt x="780846" y="366398"/>
              </a:lnTo>
              <a:lnTo>
                <a:pt x="817869" y="426579"/>
              </a:lnTo>
              <a:lnTo>
                <a:pt x="844755" y="425238"/>
              </a:lnTo>
              <a:lnTo>
                <a:pt x="873940" y="469660"/>
              </a:lnTo>
              <a:lnTo>
                <a:pt x="859913" y="510703"/>
              </a:lnTo>
              <a:lnTo>
                <a:pt x="838683" y="530925"/>
              </a:lnTo>
              <a:lnTo>
                <a:pt x="838683" y="530925"/>
              </a:lnTo>
              <a:lnTo>
                <a:pt x="825668" y="545188"/>
              </a:lnTo>
              <a:lnTo>
                <a:pt x="785783" y="552210"/>
              </a:lnTo>
              <a:lnTo>
                <a:pt x="798586" y="581325"/>
              </a:lnTo>
              <a:lnTo>
                <a:pt x="788718" y="611562"/>
              </a:lnTo>
              <a:lnTo>
                <a:pt x="772106" y="639610"/>
              </a:lnTo>
              <a:lnTo>
                <a:pt x="698092" y="607943"/>
              </a:lnTo>
              <a:lnTo>
                <a:pt x="698092" y="607943"/>
              </a:lnTo>
              <a:lnTo>
                <a:pt x="652101" y="626307"/>
              </a:lnTo>
              <a:lnTo>
                <a:pt x="578539" y="603117"/>
              </a:lnTo>
              <a:lnTo>
                <a:pt x="571542" y="595384"/>
              </a:lnTo>
              <a:lnTo>
                <a:pt x="490672" y="647606"/>
              </a:lnTo>
              <a:lnTo>
                <a:pt x="467613" y="640620"/>
              </a:lnTo>
              <a:lnTo>
                <a:pt x="432190" y="652858"/>
              </a:lnTo>
              <a:lnTo>
                <a:pt x="398385" y="700298"/>
              </a:lnTo>
              <a:lnTo>
                <a:pt x="346622" y="697634"/>
              </a:lnTo>
              <a:lnTo>
                <a:pt x="341473" y="730132"/>
              </a:lnTo>
              <a:lnTo>
                <a:pt x="362694" y="758905"/>
              </a:lnTo>
              <a:lnTo>
                <a:pt x="369154" y="796417"/>
              </a:lnTo>
              <a:lnTo>
                <a:pt x="340300" y="808323"/>
              </a:lnTo>
              <a:lnTo>
                <a:pt x="317040" y="839123"/>
              </a:lnTo>
              <a:lnTo>
                <a:pt x="322649" y="868610"/>
              </a:lnTo>
              <a:lnTo>
                <a:pt x="307504" y="879883"/>
              </a:lnTo>
              <a:lnTo>
                <a:pt x="295185" y="859269"/>
              </a:lnTo>
              <a:lnTo>
                <a:pt x="268200" y="860486"/>
              </a:lnTo>
              <a:lnTo>
                <a:pt x="271880" y="889557"/>
              </a:lnTo>
              <a:lnTo>
                <a:pt x="247752" y="901730"/>
              </a:lnTo>
              <a:lnTo>
                <a:pt x="186644" y="850516"/>
              </a:lnTo>
              <a:lnTo>
                <a:pt x="40681" y="765154"/>
              </a:lnTo>
              <a:lnTo>
                <a:pt x="0" y="755811"/>
              </a:lnTo>
              <a:lnTo>
                <a:pt x="0" y="755811"/>
              </a:lnTo>
              <a:lnTo>
                <a:pt x="70993" y="688234"/>
              </a:lnTo>
              <a:lnTo>
                <a:pt x="72767" y="674547"/>
              </a:lnTo>
              <a:lnTo>
                <a:pt x="59789" y="637305"/>
              </a:lnTo>
              <a:lnTo>
                <a:pt x="84742" y="579766"/>
              </a:lnTo>
              <a:lnTo>
                <a:pt x="78378" y="542236"/>
              </a:lnTo>
              <a:lnTo>
                <a:pt x="94079" y="490136"/>
              </a:lnTo>
              <a:lnTo>
                <a:pt x="63880" y="469775"/>
              </a:lnTo>
              <a:lnTo>
                <a:pt x="94908" y="400877"/>
              </a:lnTo>
              <a:lnTo>
                <a:pt x="118856" y="386722"/>
              </a:lnTo>
              <a:lnTo>
                <a:pt x="104344" y="314266"/>
              </a:lnTo>
              <a:lnTo>
                <a:pt x="113644" y="267986"/>
              </a:lnTo>
              <a:lnTo>
                <a:pt x="154480" y="230899"/>
              </a:lnTo>
              <a:lnTo>
                <a:pt x="151662" y="209852"/>
              </a:lnTo>
              <a:lnTo>
                <a:pt x="168458" y="184407"/>
              </a:lnTo>
              <a:lnTo>
                <a:pt x="134456" y="183391"/>
              </a:lnTo>
              <a:lnTo>
                <a:pt x="133280" y="156726"/>
              </a:lnTo>
              <a:lnTo>
                <a:pt x="171153" y="149504"/>
              </a:lnTo>
              <a:lnTo>
                <a:pt x="176779" y="127578"/>
              </a:lnTo>
              <a:lnTo>
                <a:pt x="194904" y="132315"/>
              </a:lnTo>
              <a:lnTo>
                <a:pt x="174988" y="87329"/>
              </a:lnTo>
              <a:lnTo>
                <a:pt x="175056" y="35908"/>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56000" tIns="1044000" rtlCol="0" anchor="t"/>
        <a:lstStyle/>
        <a:p>
          <a:pPr algn="l"/>
          <a:r>
            <a:rPr lang="en-IN" sz="900">
              <a:latin typeface="Calibri" panose="020F0502020204030204" pitchFamily="34" charset="0"/>
              <a:cs typeface="Calibri" panose="020F0502020204030204" pitchFamily="34" charset="0"/>
            </a:rPr>
            <a:t>BANKURA</a:t>
          </a:r>
        </a:p>
      </xdr:txBody>
    </xdr:sp>
    <xdr:clientData/>
  </xdr:twoCellAnchor>
  <xdr:twoCellAnchor editAs="absolute">
    <xdr:from>
      <xdr:col>3</xdr:col>
      <xdr:colOff>498890</xdr:colOff>
      <xdr:row>27</xdr:row>
      <xdr:rowOff>7322</xdr:rowOff>
    </xdr:from>
    <xdr:to>
      <xdr:col>5</xdr:col>
      <xdr:colOff>335111</xdr:colOff>
      <xdr:row>31</xdr:row>
      <xdr:rowOff>65569</xdr:rowOff>
    </xdr:to>
    <xdr:sp macro="" textlink="">
      <xdr:nvSpPr>
        <xdr:cNvPr id="16" name="Freeform 13">
          <a:extLst>
            <a:ext uri="{FF2B5EF4-FFF2-40B4-BE49-F238E27FC236}">
              <a16:creationId xmlns:a16="http://schemas.microsoft.com/office/drawing/2014/main" id="{F10A9139-BAA8-4411-A09F-DCFA9C7824E2}"/>
            </a:ext>
          </a:extLst>
        </xdr:cNvPr>
        <xdr:cNvSpPr>
          <a:spLocks noChangeAspect="1"/>
        </xdr:cNvSpPr>
      </xdr:nvSpPr>
      <xdr:spPr>
        <a:xfrm>
          <a:off x="2513957" y="5222788"/>
          <a:ext cx="1059654" cy="820247"/>
        </a:xfrm>
        <a:custGeom>
          <a:avLst/>
          <a:gdLst/>
          <a:ahLst/>
          <a:cxnLst/>
          <a:rect l="0" t="0" r="0" b="0"/>
          <a:pathLst>
            <a:path w="755034" h="587181">
              <a:moveTo>
                <a:pt x="690066" y="252507"/>
              </a:moveTo>
              <a:lnTo>
                <a:pt x="689182" y="314590"/>
              </a:lnTo>
              <a:lnTo>
                <a:pt x="667539" y="334929"/>
              </a:lnTo>
              <a:lnTo>
                <a:pt x="668847" y="359066"/>
              </a:lnTo>
              <a:lnTo>
                <a:pt x="639649" y="406539"/>
              </a:lnTo>
              <a:lnTo>
                <a:pt x="661287" y="429577"/>
              </a:lnTo>
              <a:lnTo>
                <a:pt x="669229" y="488657"/>
              </a:lnTo>
              <a:lnTo>
                <a:pt x="659342" y="516425"/>
              </a:lnTo>
              <a:lnTo>
                <a:pt x="659342" y="516425"/>
              </a:lnTo>
              <a:lnTo>
                <a:pt x="633865" y="501662"/>
              </a:lnTo>
              <a:lnTo>
                <a:pt x="598331" y="511638"/>
              </a:lnTo>
              <a:lnTo>
                <a:pt x="575026" y="501790"/>
              </a:lnTo>
              <a:lnTo>
                <a:pt x="527864" y="507322"/>
              </a:lnTo>
              <a:lnTo>
                <a:pt x="524912" y="496384"/>
              </a:lnTo>
              <a:lnTo>
                <a:pt x="466419" y="493919"/>
              </a:lnTo>
              <a:lnTo>
                <a:pt x="426302" y="507110"/>
              </a:lnTo>
              <a:lnTo>
                <a:pt x="396545" y="500589"/>
              </a:lnTo>
              <a:lnTo>
                <a:pt x="376327" y="458270"/>
              </a:lnTo>
              <a:lnTo>
                <a:pt x="389758" y="452028"/>
              </a:lnTo>
              <a:lnTo>
                <a:pt x="374247" y="418037"/>
              </a:lnTo>
              <a:lnTo>
                <a:pt x="345472" y="430110"/>
              </a:lnTo>
              <a:lnTo>
                <a:pt x="341617" y="484263"/>
              </a:lnTo>
              <a:lnTo>
                <a:pt x="331087" y="500939"/>
              </a:lnTo>
              <a:lnTo>
                <a:pt x="345210" y="554168"/>
              </a:lnTo>
              <a:lnTo>
                <a:pt x="315858" y="555673"/>
              </a:lnTo>
              <a:lnTo>
                <a:pt x="316553" y="569252"/>
              </a:lnTo>
              <a:lnTo>
                <a:pt x="281386" y="587180"/>
              </a:lnTo>
              <a:lnTo>
                <a:pt x="281386" y="587180"/>
              </a:lnTo>
              <a:lnTo>
                <a:pt x="246696" y="567762"/>
              </a:lnTo>
              <a:lnTo>
                <a:pt x="204807" y="499283"/>
              </a:lnTo>
              <a:lnTo>
                <a:pt x="186980" y="465387"/>
              </a:lnTo>
              <a:lnTo>
                <a:pt x="190500" y="441008"/>
              </a:lnTo>
              <a:lnTo>
                <a:pt x="171446" y="420281"/>
              </a:lnTo>
              <a:lnTo>
                <a:pt x="138271" y="430002"/>
              </a:lnTo>
              <a:lnTo>
                <a:pt x="141452" y="408163"/>
              </a:lnTo>
              <a:lnTo>
                <a:pt x="100390" y="402131"/>
              </a:lnTo>
              <a:lnTo>
                <a:pt x="87779" y="367459"/>
              </a:lnTo>
              <a:lnTo>
                <a:pt x="67849" y="376508"/>
              </a:lnTo>
              <a:lnTo>
                <a:pt x="44248" y="359010"/>
              </a:lnTo>
              <a:lnTo>
                <a:pt x="8205" y="358247"/>
              </a:lnTo>
              <a:lnTo>
                <a:pt x="21249" y="343999"/>
              </a:lnTo>
              <a:lnTo>
                <a:pt x="0" y="325874"/>
              </a:lnTo>
              <a:lnTo>
                <a:pt x="12054" y="301087"/>
              </a:lnTo>
              <a:lnTo>
                <a:pt x="12054" y="301087"/>
              </a:lnTo>
              <a:lnTo>
                <a:pt x="86068" y="332754"/>
              </a:lnTo>
              <a:lnTo>
                <a:pt x="102680" y="304706"/>
              </a:lnTo>
              <a:lnTo>
                <a:pt x="112548" y="274469"/>
              </a:lnTo>
              <a:lnTo>
                <a:pt x="99745" y="245354"/>
              </a:lnTo>
              <a:lnTo>
                <a:pt x="139630" y="238332"/>
              </a:lnTo>
              <a:lnTo>
                <a:pt x="152645" y="224069"/>
              </a:lnTo>
              <a:lnTo>
                <a:pt x="152645" y="224069"/>
              </a:lnTo>
              <a:lnTo>
                <a:pt x="176723" y="260682"/>
              </a:lnTo>
              <a:lnTo>
                <a:pt x="199795" y="267592"/>
              </a:lnTo>
              <a:lnTo>
                <a:pt x="207344" y="285869"/>
              </a:lnTo>
              <a:lnTo>
                <a:pt x="235816" y="268296"/>
              </a:lnTo>
              <a:lnTo>
                <a:pt x="250200" y="281182"/>
              </a:lnTo>
              <a:lnTo>
                <a:pt x="330838" y="274543"/>
              </a:lnTo>
              <a:lnTo>
                <a:pt x="352677" y="257282"/>
              </a:lnTo>
              <a:lnTo>
                <a:pt x="383845" y="255670"/>
              </a:lnTo>
              <a:lnTo>
                <a:pt x="380624" y="239196"/>
              </a:lnTo>
              <a:lnTo>
                <a:pt x="414199" y="229382"/>
              </a:lnTo>
              <a:lnTo>
                <a:pt x="403973" y="205709"/>
              </a:lnTo>
              <a:lnTo>
                <a:pt x="411552" y="178588"/>
              </a:lnTo>
              <a:lnTo>
                <a:pt x="462699" y="170364"/>
              </a:lnTo>
              <a:lnTo>
                <a:pt x="484210" y="147546"/>
              </a:lnTo>
              <a:lnTo>
                <a:pt x="498307" y="74181"/>
              </a:lnTo>
              <a:lnTo>
                <a:pt x="558927" y="76002"/>
              </a:lnTo>
              <a:lnTo>
                <a:pt x="575982" y="94254"/>
              </a:lnTo>
              <a:lnTo>
                <a:pt x="633986" y="91134"/>
              </a:lnTo>
              <a:lnTo>
                <a:pt x="648097" y="98440"/>
              </a:lnTo>
              <a:lnTo>
                <a:pt x="649562" y="46918"/>
              </a:lnTo>
              <a:lnTo>
                <a:pt x="683770" y="15302"/>
              </a:lnTo>
              <a:lnTo>
                <a:pt x="683770" y="15302"/>
              </a:lnTo>
              <a:lnTo>
                <a:pt x="714602" y="0"/>
              </a:lnTo>
              <a:lnTo>
                <a:pt x="726821" y="15975"/>
              </a:lnTo>
              <a:lnTo>
                <a:pt x="711856" y="70761"/>
              </a:lnTo>
              <a:lnTo>
                <a:pt x="719338" y="86491"/>
              </a:lnTo>
              <a:lnTo>
                <a:pt x="741973" y="85249"/>
              </a:lnTo>
              <a:lnTo>
                <a:pt x="755033" y="124880"/>
              </a:lnTo>
              <a:lnTo>
                <a:pt x="728448" y="131888"/>
              </a:lnTo>
              <a:lnTo>
                <a:pt x="712859" y="175612"/>
              </a:lnTo>
              <a:lnTo>
                <a:pt x="693307" y="190296"/>
              </a:lnTo>
              <a:lnTo>
                <a:pt x="683929" y="218042"/>
              </a:lnTo>
              <a:close/>
            </a:path>
          </a:pathLst>
        </a:custGeom>
        <a:solidFill>
          <a:srgbClr val="FF00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36000" tIns="792000" rtlCol="0" anchor="t"/>
        <a:lstStyle/>
        <a:p>
          <a:pPr algn="l"/>
          <a:r>
            <a:rPr lang="en-IN" sz="900">
              <a:latin typeface="Calibri" panose="020F0502020204030204" pitchFamily="34" charset="0"/>
              <a:cs typeface="Calibri" panose="020F0502020204030204" pitchFamily="34" charset="0"/>
            </a:rPr>
            <a:t>HOOGHLY</a:t>
          </a:r>
        </a:p>
      </xdr:txBody>
    </xdr:sp>
    <xdr:clientData/>
  </xdr:twoCellAnchor>
  <xdr:twoCellAnchor editAs="absolute">
    <xdr:from>
      <xdr:col>5</xdr:col>
      <xdr:colOff>122253</xdr:colOff>
      <xdr:row>30</xdr:row>
      <xdr:rowOff>179206</xdr:rowOff>
    </xdr:from>
    <xdr:to>
      <xdr:col>5</xdr:col>
      <xdr:colOff>270058</xdr:colOff>
      <xdr:row>31</xdr:row>
      <xdr:rowOff>155134</xdr:rowOff>
    </xdr:to>
    <xdr:sp macro="" textlink="">
      <xdr:nvSpPr>
        <xdr:cNvPr id="17" name="Freeform 18">
          <a:extLst>
            <a:ext uri="{FF2B5EF4-FFF2-40B4-BE49-F238E27FC236}">
              <a16:creationId xmlns:a16="http://schemas.microsoft.com/office/drawing/2014/main" id="{E01ECE03-39FC-41CD-999A-995638C2AA42}"/>
            </a:ext>
          </a:extLst>
        </xdr:cNvPr>
        <xdr:cNvSpPr>
          <a:spLocks noChangeAspect="1"/>
        </xdr:cNvSpPr>
      </xdr:nvSpPr>
      <xdr:spPr>
        <a:xfrm>
          <a:off x="3360753" y="5966172"/>
          <a:ext cx="147805" cy="166428"/>
        </a:xfrm>
        <a:custGeom>
          <a:avLst/>
          <a:gdLst/>
          <a:ahLst/>
          <a:cxnLst/>
          <a:rect l="0" t="0" r="0" b="0"/>
          <a:pathLst>
            <a:path w="105315" h="119139">
              <a:moveTo>
                <a:pt x="0" y="73514"/>
              </a:moveTo>
              <a:lnTo>
                <a:pt x="42626" y="71224"/>
              </a:lnTo>
              <a:lnTo>
                <a:pt x="69212" y="18349"/>
              </a:lnTo>
              <a:lnTo>
                <a:pt x="63471" y="0"/>
              </a:lnTo>
              <a:lnTo>
                <a:pt x="63471" y="0"/>
              </a:lnTo>
              <a:lnTo>
                <a:pt x="86463" y="3797"/>
              </a:lnTo>
              <a:lnTo>
                <a:pt x="105314" y="62281"/>
              </a:lnTo>
              <a:lnTo>
                <a:pt x="105314" y="62281"/>
              </a:lnTo>
              <a:lnTo>
                <a:pt x="79928" y="93414"/>
              </a:lnTo>
              <a:lnTo>
                <a:pt x="78868" y="117678"/>
              </a:lnTo>
              <a:lnTo>
                <a:pt x="51861" y="119138"/>
              </a:lnTo>
              <a:lnTo>
                <a:pt x="15150" y="108002"/>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173174</xdr:colOff>
      <xdr:row>26</xdr:row>
      <xdr:rowOff>147502</xdr:rowOff>
    </xdr:from>
    <xdr:to>
      <xdr:col>6</xdr:col>
      <xdr:colOff>468628</xdr:colOff>
      <xdr:row>37</xdr:row>
      <xdr:rowOff>179704</xdr:rowOff>
    </xdr:to>
    <xdr:grpSp>
      <xdr:nvGrpSpPr>
        <xdr:cNvPr id="18" name="Freeform 17">
          <a:extLst>
            <a:ext uri="{FF2B5EF4-FFF2-40B4-BE49-F238E27FC236}">
              <a16:creationId xmlns:a16="http://schemas.microsoft.com/office/drawing/2014/main" id="{7E98D027-D96A-4AA1-9A9C-2211F4D99D95}"/>
            </a:ext>
          </a:extLst>
        </xdr:cNvPr>
        <xdr:cNvGrpSpPr>
          <a:grpSpLocks noChangeAspect="1"/>
        </xdr:cNvGrpSpPr>
      </xdr:nvGrpSpPr>
      <xdr:grpSpPr>
        <a:xfrm>
          <a:off x="3399768" y="5183846"/>
          <a:ext cx="902673" cy="2127702"/>
          <a:chOff x="7017746" y="4121259"/>
          <a:chExt cx="641861" cy="1523133"/>
        </a:xfrm>
        <a:solidFill>
          <a:srgbClr val="FF0000"/>
        </a:solidFill>
      </xdr:grpSpPr>
      <xdr:sp macro="" textlink="">
        <xdr:nvSpPr>
          <xdr:cNvPr id="58" name="ID_201">
            <a:extLst>
              <a:ext uri="{FF2B5EF4-FFF2-40B4-BE49-F238E27FC236}">
                <a16:creationId xmlns:a16="http://schemas.microsoft.com/office/drawing/2014/main" id="{DFFAC279-555B-4828-BD17-7EC8639436F6}"/>
              </a:ext>
            </a:extLst>
          </xdr:cNvPr>
          <xdr:cNvSpPr/>
        </xdr:nvSpPr>
        <xdr:spPr>
          <a:xfrm>
            <a:off x="7017746" y="4121259"/>
            <a:ext cx="615411" cy="1191565"/>
          </a:xfrm>
          <a:custGeom>
            <a:avLst/>
            <a:gdLst/>
            <a:ahLst/>
            <a:cxnLst/>
            <a:rect l="0" t="0" r="0" b="0"/>
            <a:pathLst>
              <a:path w="615411" h="1191565">
                <a:moveTo>
                  <a:pt x="369382" y="983924"/>
                </a:moveTo>
                <a:lnTo>
                  <a:pt x="382070" y="964039"/>
                </a:lnTo>
                <a:lnTo>
                  <a:pt x="348742" y="939202"/>
                </a:lnTo>
                <a:lnTo>
                  <a:pt x="347204" y="912055"/>
                </a:lnTo>
                <a:lnTo>
                  <a:pt x="377320" y="880590"/>
                </a:lnTo>
                <a:lnTo>
                  <a:pt x="392457" y="828788"/>
                </a:lnTo>
                <a:lnTo>
                  <a:pt x="384854" y="820647"/>
                </a:lnTo>
                <a:lnTo>
                  <a:pt x="393941" y="779781"/>
                </a:lnTo>
                <a:lnTo>
                  <a:pt x="357904" y="781833"/>
                </a:lnTo>
                <a:lnTo>
                  <a:pt x="359504" y="768124"/>
                </a:lnTo>
                <a:lnTo>
                  <a:pt x="298304" y="728716"/>
                </a:lnTo>
                <a:lnTo>
                  <a:pt x="302137" y="712361"/>
                </a:lnTo>
                <a:lnTo>
                  <a:pt x="263223" y="671174"/>
                </a:lnTo>
                <a:lnTo>
                  <a:pt x="223462" y="605814"/>
                </a:lnTo>
                <a:lnTo>
                  <a:pt x="203988" y="580168"/>
                </a:lnTo>
                <a:lnTo>
                  <a:pt x="180987" y="567827"/>
                </a:lnTo>
                <a:lnTo>
                  <a:pt x="155497" y="639339"/>
                </a:lnTo>
                <a:lnTo>
                  <a:pt x="113277" y="614427"/>
                </a:lnTo>
                <a:lnTo>
                  <a:pt x="95888" y="626474"/>
                </a:lnTo>
                <a:lnTo>
                  <a:pt x="68156" y="614371"/>
                </a:lnTo>
                <a:lnTo>
                  <a:pt x="69032" y="630461"/>
                </a:lnTo>
                <a:lnTo>
                  <a:pt x="69032" y="630461"/>
                </a:lnTo>
                <a:lnTo>
                  <a:pt x="50181" y="571977"/>
                </a:lnTo>
                <a:lnTo>
                  <a:pt x="27189" y="568180"/>
                </a:lnTo>
                <a:lnTo>
                  <a:pt x="27189" y="568180"/>
                </a:lnTo>
                <a:lnTo>
                  <a:pt x="19693" y="552448"/>
                </a:lnTo>
                <a:lnTo>
                  <a:pt x="19693" y="552448"/>
                </a:lnTo>
                <a:lnTo>
                  <a:pt x="29580" y="524680"/>
                </a:lnTo>
                <a:lnTo>
                  <a:pt x="21638" y="465600"/>
                </a:lnTo>
                <a:lnTo>
                  <a:pt x="0" y="442562"/>
                </a:lnTo>
                <a:lnTo>
                  <a:pt x="29198" y="395089"/>
                </a:lnTo>
                <a:lnTo>
                  <a:pt x="27890" y="370952"/>
                </a:lnTo>
                <a:lnTo>
                  <a:pt x="49533" y="350613"/>
                </a:lnTo>
                <a:lnTo>
                  <a:pt x="50417" y="288530"/>
                </a:lnTo>
                <a:lnTo>
                  <a:pt x="50417" y="288530"/>
                </a:lnTo>
                <a:lnTo>
                  <a:pt x="88667" y="286442"/>
                </a:lnTo>
                <a:lnTo>
                  <a:pt x="100606" y="296883"/>
                </a:lnTo>
                <a:lnTo>
                  <a:pt x="134274" y="297553"/>
                </a:lnTo>
                <a:lnTo>
                  <a:pt x="200508" y="313049"/>
                </a:lnTo>
                <a:lnTo>
                  <a:pt x="215552" y="336420"/>
                </a:lnTo>
                <a:lnTo>
                  <a:pt x="244819" y="342853"/>
                </a:lnTo>
                <a:lnTo>
                  <a:pt x="245868" y="234855"/>
                </a:lnTo>
                <a:lnTo>
                  <a:pt x="259917" y="206829"/>
                </a:lnTo>
                <a:lnTo>
                  <a:pt x="264570" y="171763"/>
                </a:lnTo>
                <a:lnTo>
                  <a:pt x="247477" y="145488"/>
                </a:lnTo>
                <a:lnTo>
                  <a:pt x="267991" y="106503"/>
                </a:lnTo>
                <a:lnTo>
                  <a:pt x="259418" y="80253"/>
                </a:lnTo>
                <a:lnTo>
                  <a:pt x="277018" y="73712"/>
                </a:lnTo>
                <a:lnTo>
                  <a:pt x="267215" y="17267"/>
                </a:lnTo>
                <a:lnTo>
                  <a:pt x="298638" y="12969"/>
                </a:lnTo>
                <a:lnTo>
                  <a:pt x="298638" y="12969"/>
                </a:lnTo>
                <a:lnTo>
                  <a:pt x="324222" y="30684"/>
                </a:lnTo>
                <a:lnTo>
                  <a:pt x="346839" y="29396"/>
                </a:lnTo>
                <a:lnTo>
                  <a:pt x="340436" y="0"/>
                </a:lnTo>
                <a:lnTo>
                  <a:pt x="375091" y="19205"/>
                </a:lnTo>
                <a:lnTo>
                  <a:pt x="415464" y="14362"/>
                </a:lnTo>
                <a:lnTo>
                  <a:pt x="445925" y="34293"/>
                </a:lnTo>
                <a:lnTo>
                  <a:pt x="481122" y="21656"/>
                </a:lnTo>
                <a:lnTo>
                  <a:pt x="478282" y="54107"/>
                </a:lnTo>
                <a:lnTo>
                  <a:pt x="464444" y="43813"/>
                </a:lnTo>
                <a:lnTo>
                  <a:pt x="439298" y="75033"/>
                </a:lnTo>
                <a:lnTo>
                  <a:pt x="440403" y="94138"/>
                </a:lnTo>
                <a:lnTo>
                  <a:pt x="395424" y="134562"/>
                </a:lnTo>
                <a:lnTo>
                  <a:pt x="394133" y="153300"/>
                </a:lnTo>
                <a:lnTo>
                  <a:pt x="407767" y="192872"/>
                </a:lnTo>
                <a:lnTo>
                  <a:pt x="395917" y="258624"/>
                </a:lnTo>
                <a:lnTo>
                  <a:pt x="425505" y="262471"/>
                </a:lnTo>
                <a:lnTo>
                  <a:pt x="437901" y="288492"/>
                </a:lnTo>
                <a:lnTo>
                  <a:pt x="435826" y="326444"/>
                </a:lnTo>
                <a:lnTo>
                  <a:pt x="465258" y="327265"/>
                </a:lnTo>
                <a:lnTo>
                  <a:pt x="484784" y="353372"/>
                </a:lnTo>
                <a:lnTo>
                  <a:pt x="480206" y="397019"/>
                </a:lnTo>
                <a:lnTo>
                  <a:pt x="452768" y="422820"/>
                </a:lnTo>
                <a:lnTo>
                  <a:pt x="454482" y="452482"/>
                </a:lnTo>
                <a:lnTo>
                  <a:pt x="485660" y="491031"/>
                </a:lnTo>
                <a:lnTo>
                  <a:pt x="465462" y="527510"/>
                </a:lnTo>
                <a:lnTo>
                  <a:pt x="481652" y="610306"/>
                </a:lnTo>
                <a:lnTo>
                  <a:pt x="500404" y="622333"/>
                </a:lnTo>
                <a:lnTo>
                  <a:pt x="512383" y="673087"/>
                </a:lnTo>
                <a:lnTo>
                  <a:pt x="522174" y="686136"/>
                </a:lnTo>
                <a:lnTo>
                  <a:pt x="528313" y="718061"/>
                </a:lnTo>
                <a:lnTo>
                  <a:pt x="514397" y="748630"/>
                </a:lnTo>
                <a:lnTo>
                  <a:pt x="524018" y="758663"/>
                </a:lnTo>
                <a:lnTo>
                  <a:pt x="526681" y="804408"/>
                </a:lnTo>
                <a:lnTo>
                  <a:pt x="553545" y="840671"/>
                </a:lnTo>
                <a:lnTo>
                  <a:pt x="535518" y="841722"/>
                </a:lnTo>
                <a:lnTo>
                  <a:pt x="562396" y="869912"/>
                </a:lnTo>
                <a:lnTo>
                  <a:pt x="594677" y="925016"/>
                </a:lnTo>
                <a:lnTo>
                  <a:pt x="597038" y="965228"/>
                </a:lnTo>
                <a:lnTo>
                  <a:pt x="615410" y="969696"/>
                </a:lnTo>
                <a:lnTo>
                  <a:pt x="585626" y="998177"/>
                </a:lnTo>
                <a:lnTo>
                  <a:pt x="578012" y="1022832"/>
                </a:lnTo>
                <a:lnTo>
                  <a:pt x="591949" y="1065391"/>
                </a:lnTo>
                <a:lnTo>
                  <a:pt x="611133" y="1083430"/>
                </a:lnTo>
                <a:lnTo>
                  <a:pt x="607928" y="1150696"/>
                </a:lnTo>
                <a:lnTo>
                  <a:pt x="583988" y="1165716"/>
                </a:lnTo>
                <a:lnTo>
                  <a:pt x="553557" y="1151354"/>
                </a:lnTo>
                <a:lnTo>
                  <a:pt x="569082" y="1180204"/>
                </a:lnTo>
                <a:lnTo>
                  <a:pt x="555899" y="1191564"/>
                </a:lnTo>
                <a:lnTo>
                  <a:pt x="529610" y="1166364"/>
                </a:lnTo>
                <a:lnTo>
                  <a:pt x="511533" y="1167412"/>
                </a:lnTo>
                <a:lnTo>
                  <a:pt x="500925" y="1140793"/>
                </a:lnTo>
                <a:lnTo>
                  <a:pt x="510622" y="1110477"/>
                </a:lnTo>
                <a:lnTo>
                  <a:pt x="502755" y="1056969"/>
                </a:lnTo>
                <a:lnTo>
                  <a:pt x="531461" y="1042191"/>
                </a:lnTo>
                <a:lnTo>
                  <a:pt x="538589" y="1008994"/>
                </a:lnTo>
                <a:lnTo>
                  <a:pt x="522257" y="1039700"/>
                </a:lnTo>
                <a:lnTo>
                  <a:pt x="495636" y="1049312"/>
                </a:lnTo>
                <a:lnTo>
                  <a:pt x="498746" y="1103095"/>
                </a:lnTo>
                <a:lnTo>
                  <a:pt x="485595" y="1114950"/>
                </a:lnTo>
                <a:lnTo>
                  <a:pt x="483884" y="1085294"/>
                </a:lnTo>
                <a:lnTo>
                  <a:pt x="493899" y="1060507"/>
                </a:lnTo>
                <a:lnTo>
                  <a:pt x="475200" y="1050492"/>
                </a:lnTo>
                <a:lnTo>
                  <a:pt x="491255" y="1014766"/>
                </a:lnTo>
                <a:lnTo>
                  <a:pt x="466025" y="1048499"/>
                </a:lnTo>
                <a:lnTo>
                  <a:pt x="475663" y="1058534"/>
                </a:lnTo>
                <a:lnTo>
                  <a:pt x="481257" y="1155545"/>
                </a:lnTo>
                <a:lnTo>
                  <a:pt x="475524" y="1172013"/>
                </a:lnTo>
                <a:lnTo>
                  <a:pt x="437132" y="1176739"/>
                </a:lnTo>
                <a:lnTo>
                  <a:pt x="422589" y="1164460"/>
                </a:lnTo>
                <a:lnTo>
                  <a:pt x="367275" y="1148446"/>
                </a:lnTo>
                <a:lnTo>
                  <a:pt x="362083" y="1132603"/>
                </a:lnTo>
                <a:lnTo>
                  <a:pt x="386355" y="1123157"/>
                </a:lnTo>
                <a:lnTo>
                  <a:pt x="367371" y="1108098"/>
                </a:lnTo>
                <a:lnTo>
                  <a:pt x="358266" y="1065245"/>
                </a:lnTo>
                <a:lnTo>
                  <a:pt x="374499" y="1032048"/>
                </a:lnTo>
                <a:lnTo>
                  <a:pt x="350225" y="1049562"/>
                </a:lnTo>
                <a:lnTo>
                  <a:pt x="351307" y="1068665"/>
                </a:lnTo>
                <a:lnTo>
                  <a:pt x="321405" y="1054216"/>
                </a:lnTo>
                <a:lnTo>
                  <a:pt x="354306" y="995371"/>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288000" tIns="1044000" rIns="108000" rtlCol="0" anchor="t"/>
          <a:lstStyle/>
          <a:p>
            <a:pPr algn="l"/>
            <a:r>
              <a:rPr lang="en-IN" sz="900">
                <a:latin typeface="Calibri" panose="020F0502020204030204" pitchFamily="34" charset="0"/>
                <a:cs typeface="Calibri" panose="020F0502020204030204" pitchFamily="34" charset="0"/>
              </a:rPr>
              <a:t>NORTH 24 </a:t>
            </a:r>
          </a:p>
          <a:p>
            <a:pPr algn="l"/>
            <a:r>
              <a:rPr lang="en-IN" sz="900">
                <a:latin typeface="Calibri" panose="020F0502020204030204" pitchFamily="34" charset="0"/>
                <a:cs typeface="Calibri" panose="020F0502020204030204" pitchFamily="34" charset="0"/>
              </a:rPr>
              <a:t>PARGANAS</a:t>
            </a:r>
          </a:p>
        </xdr:txBody>
      </xdr:sp>
      <xdr:sp macro="" textlink="">
        <xdr:nvSpPr>
          <xdr:cNvPr id="59" name="ID_202">
            <a:extLst>
              <a:ext uri="{FF2B5EF4-FFF2-40B4-BE49-F238E27FC236}">
                <a16:creationId xmlns:a16="http://schemas.microsoft.com/office/drawing/2014/main" id="{BD29C86A-B234-4738-B23F-22477191C29A}"/>
              </a:ext>
            </a:extLst>
          </xdr:cNvPr>
          <xdr:cNvSpPr/>
        </xdr:nvSpPr>
        <xdr:spPr>
          <a:xfrm>
            <a:off x="7358676" y="5256511"/>
            <a:ext cx="64041" cy="40986"/>
          </a:xfrm>
          <a:custGeom>
            <a:avLst/>
            <a:gdLst/>
            <a:ahLst/>
            <a:cxnLst/>
            <a:rect l="0" t="0" r="0" b="0"/>
            <a:pathLst>
              <a:path w="64041" h="40986">
                <a:moveTo>
                  <a:pt x="33631" y="23875"/>
                </a:moveTo>
                <a:lnTo>
                  <a:pt x="64040" y="38282"/>
                </a:lnTo>
                <a:lnTo>
                  <a:pt x="16465" y="40985"/>
                </a:lnTo>
                <a:lnTo>
                  <a:pt x="0" y="28300"/>
                </a:lnTo>
                <a:lnTo>
                  <a:pt x="3223" y="887"/>
                </a:lnTo>
                <a:lnTo>
                  <a:pt x="18917"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0" name="ID_203">
            <a:extLst>
              <a:ext uri="{FF2B5EF4-FFF2-40B4-BE49-F238E27FC236}">
                <a16:creationId xmlns:a16="http://schemas.microsoft.com/office/drawing/2014/main" id="{EC189A6D-F2A9-4C5D-A053-92845935D367}"/>
              </a:ext>
            </a:extLst>
          </xdr:cNvPr>
          <xdr:cNvSpPr/>
        </xdr:nvSpPr>
        <xdr:spPr>
          <a:xfrm>
            <a:off x="7436513" y="5290238"/>
            <a:ext cx="119149" cy="153682"/>
          </a:xfrm>
          <a:custGeom>
            <a:avLst/>
            <a:gdLst/>
            <a:ahLst/>
            <a:cxnLst/>
            <a:rect l="0" t="0" r="0" b="0"/>
            <a:pathLst>
              <a:path w="119149" h="153682">
                <a:moveTo>
                  <a:pt x="103010" y="59869"/>
                </a:moveTo>
                <a:lnTo>
                  <a:pt x="97597" y="81867"/>
                </a:lnTo>
                <a:lnTo>
                  <a:pt x="119148" y="99276"/>
                </a:lnTo>
                <a:lnTo>
                  <a:pt x="101695" y="111383"/>
                </a:lnTo>
                <a:lnTo>
                  <a:pt x="107670" y="140285"/>
                </a:lnTo>
                <a:lnTo>
                  <a:pt x="67823" y="153681"/>
                </a:lnTo>
                <a:lnTo>
                  <a:pt x="52517" y="86990"/>
                </a:lnTo>
                <a:lnTo>
                  <a:pt x="33186" y="66416"/>
                </a:lnTo>
                <a:lnTo>
                  <a:pt x="26726" y="37034"/>
                </a:lnTo>
                <a:lnTo>
                  <a:pt x="0" y="3768"/>
                </a:lnTo>
                <a:lnTo>
                  <a:pt x="30418" y="18164"/>
                </a:lnTo>
                <a:lnTo>
                  <a:pt x="65650" y="0"/>
                </a:lnTo>
                <a:lnTo>
                  <a:pt x="107340" y="19274"/>
                </a:lnTo>
                <a:lnTo>
                  <a:pt x="116491" y="53539"/>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1" name="ID_204">
            <a:extLst>
              <a:ext uri="{FF2B5EF4-FFF2-40B4-BE49-F238E27FC236}">
                <a16:creationId xmlns:a16="http://schemas.microsoft.com/office/drawing/2014/main" id="{D499902E-6C43-4263-95C6-B3C9A5E5A751}"/>
              </a:ext>
            </a:extLst>
          </xdr:cNvPr>
          <xdr:cNvSpPr/>
        </xdr:nvSpPr>
        <xdr:spPr>
          <a:xfrm>
            <a:off x="7353689" y="5298984"/>
            <a:ext cx="73242" cy="45337"/>
          </a:xfrm>
          <a:custGeom>
            <a:avLst/>
            <a:gdLst/>
            <a:ahLst/>
            <a:cxnLst/>
            <a:rect l="0" t="0" r="0" b="0"/>
            <a:pathLst>
              <a:path w="73242" h="45337">
                <a:moveTo>
                  <a:pt x="39674" y="0"/>
                </a:moveTo>
                <a:lnTo>
                  <a:pt x="72323" y="11759"/>
                </a:lnTo>
                <a:lnTo>
                  <a:pt x="73241" y="27843"/>
                </a:lnTo>
                <a:lnTo>
                  <a:pt x="49409" y="45336"/>
                </a:lnTo>
                <a:lnTo>
                  <a:pt x="0" y="15861"/>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 name="ID_205">
            <a:extLst>
              <a:ext uri="{FF2B5EF4-FFF2-40B4-BE49-F238E27FC236}">
                <a16:creationId xmlns:a16="http://schemas.microsoft.com/office/drawing/2014/main" id="{900064A3-BD4E-4ECF-B84F-383EFCD9EB55}"/>
              </a:ext>
            </a:extLst>
          </xdr:cNvPr>
          <xdr:cNvSpPr/>
        </xdr:nvSpPr>
        <xdr:spPr>
          <a:xfrm>
            <a:off x="7541066" y="5319403"/>
            <a:ext cx="61266" cy="102416"/>
          </a:xfrm>
          <a:custGeom>
            <a:avLst/>
            <a:gdLst/>
            <a:ahLst/>
            <a:cxnLst/>
            <a:rect l="0" t="0" r="0" b="0"/>
            <a:pathLst>
              <a:path w="61266" h="102416">
                <a:moveTo>
                  <a:pt x="5587" y="38359"/>
                </a:moveTo>
                <a:lnTo>
                  <a:pt x="18601" y="23987"/>
                </a:lnTo>
                <a:lnTo>
                  <a:pt x="14819" y="0"/>
                </a:lnTo>
                <a:lnTo>
                  <a:pt x="57328" y="24756"/>
                </a:lnTo>
                <a:lnTo>
                  <a:pt x="61265" y="51254"/>
                </a:lnTo>
                <a:lnTo>
                  <a:pt x="36825" y="66297"/>
                </a:lnTo>
                <a:lnTo>
                  <a:pt x="14081" y="102415"/>
                </a:lnTo>
                <a:lnTo>
                  <a:pt x="2039" y="92524"/>
                </a:lnTo>
                <a:lnTo>
                  <a:pt x="23494" y="67072"/>
                </a:lnTo>
                <a:lnTo>
                  <a:pt x="0" y="57342"/>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3" name="ID_206">
            <a:extLst>
              <a:ext uri="{FF2B5EF4-FFF2-40B4-BE49-F238E27FC236}">
                <a16:creationId xmlns:a16="http://schemas.microsoft.com/office/drawing/2014/main" id="{0793D7A1-6860-46DC-8041-44DA04CC7430}"/>
              </a:ext>
            </a:extLst>
          </xdr:cNvPr>
          <xdr:cNvSpPr/>
        </xdr:nvSpPr>
        <xdr:spPr>
          <a:xfrm>
            <a:off x="7428162" y="5323798"/>
            <a:ext cx="22214" cy="24644"/>
          </a:xfrm>
          <a:custGeom>
            <a:avLst/>
            <a:gdLst/>
            <a:ahLst/>
            <a:cxnLst/>
            <a:rect l="0" t="0" r="0" b="0"/>
            <a:pathLst>
              <a:path w="22214" h="24644">
                <a:moveTo>
                  <a:pt x="22213" y="12279"/>
                </a:moveTo>
                <a:lnTo>
                  <a:pt x="0" y="24643"/>
                </a:lnTo>
                <a:lnTo>
                  <a:pt x="7666"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4" name="ID_207">
            <a:extLst>
              <a:ext uri="{FF2B5EF4-FFF2-40B4-BE49-F238E27FC236}">
                <a16:creationId xmlns:a16="http://schemas.microsoft.com/office/drawing/2014/main" id="{EBBF5D27-99B5-4860-B923-E14F77FAAC19}"/>
              </a:ext>
            </a:extLst>
          </xdr:cNvPr>
          <xdr:cNvSpPr/>
        </xdr:nvSpPr>
        <xdr:spPr>
          <a:xfrm>
            <a:off x="7342465" y="5319998"/>
            <a:ext cx="97264" cy="219573"/>
          </a:xfrm>
          <a:custGeom>
            <a:avLst/>
            <a:gdLst/>
            <a:ahLst/>
            <a:cxnLst/>
            <a:rect l="0" t="0" r="0" b="0"/>
            <a:pathLst>
              <a:path w="97264" h="219573">
                <a:moveTo>
                  <a:pt x="61764" y="86282"/>
                </a:moveTo>
                <a:lnTo>
                  <a:pt x="40587" y="117233"/>
                </a:lnTo>
                <a:lnTo>
                  <a:pt x="58675" y="191843"/>
                </a:lnTo>
                <a:lnTo>
                  <a:pt x="87309" y="174080"/>
                </a:lnTo>
                <a:lnTo>
                  <a:pt x="94205" y="219572"/>
                </a:lnTo>
                <a:lnTo>
                  <a:pt x="46220" y="216751"/>
                </a:lnTo>
                <a:lnTo>
                  <a:pt x="19928" y="191513"/>
                </a:lnTo>
                <a:lnTo>
                  <a:pt x="1005" y="135602"/>
                </a:lnTo>
                <a:lnTo>
                  <a:pt x="16527" y="88843"/>
                </a:lnTo>
                <a:lnTo>
                  <a:pt x="0" y="41367"/>
                </a:lnTo>
                <a:lnTo>
                  <a:pt x="18197" y="0"/>
                </a:lnTo>
                <a:lnTo>
                  <a:pt x="72685" y="34731"/>
                </a:lnTo>
                <a:lnTo>
                  <a:pt x="97263" y="30304"/>
                </a:lnTo>
                <a:lnTo>
                  <a:pt x="93066" y="73910"/>
                </a:lnTo>
                <a:lnTo>
                  <a:pt x="75888" y="91026"/>
                </a:lnTo>
                <a:lnTo>
                  <a:pt x="65447" y="151120"/>
                </a:lnTo>
                <a:lnTo>
                  <a:pt x="53243" y="138198"/>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5" name="ID_208">
            <a:extLst>
              <a:ext uri="{FF2B5EF4-FFF2-40B4-BE49-F238E27FC236}">
                <a16:creationId xmlns:a16="http://schemas.microsoft.com/office/drawing/2014/main" id="{B60D677A-D8C8-4AD3-9EC5-7275BD075242}"/>
              </a:ext>
            </a:extLst>
          </xdr:cNvPr>
          <xdr:cNvSpPr/>
        </xdr:nvSpPr>
        <xdr:spPr>
          <a:xfrm>
            <a:off x="7455149" y="5357309"/>
            <a:ext cx="67753" cy="107591"/>
          </a:xfrm>
          <a:custGeom>
            <a:avLst/>
            <a:gdLst/>
            <a:ahLst/>
            <a:cxnLst/>
            <a:rect l="0" t="0" r="0" b="0"/>
            <a:pathLst>
              <a:path w="67753" h="107591">
                <a:moveTo>
                  <a:pt x="45416" y="62623"/>
                </a:moveTo>
                <a:lnTo>
                  <a:pt x="46950" y="89260"/>
                </a:lnTo>
                <a:lnTo>
                  <a:pt x="67752" y="93608"/>
                </a:lnTo>
                <a:lnTo>
                  <a:pt x="61390" y="107590"/>
                </a:lnTo>
                <a:lnTo>
                  <a:pt x="38073" y="92797"/>
                </a:lnTo>
                <a:lnTo>
                  <a:pt x="22700" y="66450"/>
                </a:lnTo>
                <a:lnTo>
                  <a:pt x="0" y="62204"/>
                </a:lnTo>
                <a:lnTo>
                  <a:pt x="3127" y="0"/>
                </a:lnTo>
                <a:lnTo>
                  <a:pt x="26740" y="20329"/>
                </a:lnTo>
                <a:lnTo>
                  <a:pt x="28299" y="47471"/>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6" name="ID_209">
            <a:extLst>
              <a:ext uri="{FF2B5EF4-FFF2-40B4-BE49-F238E27FC236}">
                <a16:creationId xmlns:a16="http://schemas.microsoft.com/office/drawing/2014/main" id="{87D2F127-B8AA-46D0-BD30-520D10638A8D}"/>
              </a:ext>
            </a:extLst>
          </xdr:cNvPr>
          <xdr:cNvSpPr/>
        </xdr:nvSpPr>
        <xdr:spPr>
          <a:xfrm>
            <a:off x="7415421" y="5393528"/>
            <a:ext cx="27152" cy="49935"/>
          </a:xfrm>
          <a:custGeom>
            <a:avLst/>
            <a:gdLst/>
            <a:ahLst/>
            <a:cxnLst/>
            <a:rect l="0" t="0" r="0" b="0"/>
            <a:pathLst>
              <a:path w="27152" h="49935">
                <a:moveTo>
                  <a:pt x="26777" y="0"/>
                </a:moveTo>
                <a:lnTo>
                  <a:pt x="27151" y="48387"/>
                </a:lnTo>
                <a:lnTo>
                  <a:pt x="0" y="49934"/>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7" name="ID_210">
            <a:extLst>
              <a:ext uri="{FF2B5EF4-FFF2-40B4-BE49-F238E27FC236}">
                <a16:creationId xmlns:a16="http://schemas.microsoft.com/office/drawing/2014/main" id="{F6CAAB67-EC15-4AC7-8A7A-698CCDB0789C}"/>
              </a:ext>
            </a:extLst>
          </xdr:cNvPr>
          <xdr:cNvSpPr/>
        </xdr:nvSpPr>
        <xdr:spPr>
          <a:xfrm>
            <a:off x="7546739" y="5391228"/>
            <a:ext cx="112868" cy="176740"/>
          </a:xfrm>
          <a:custGeom>
            <a:avLst/>
            <a:gdLst/>
            <a:ahLst/>
            <a:cxnLst/>
            <a:rect l="0" t="0" r="0" b="0"/>
            <a:pathLst>
              <a:path w="112868" h="176740">
                <a:moveTo>
                  <a:pt x="33494" y="34678"/>
                </a:moveTo>
                <a:lnTo>
                  <a:pt x="31474" y="0"/>
                </a:lnTo>
                <a:lnTo>
                  <a:pt x="47453" y="36386"/>
                </a:lnTo>
                <a:lnTo>
                  <a:pt x="78720" y="64310"/>
                </a:lnTo>
                <a:lnTo>
                  <a:pt x="97600" y="117160"/>
                </a:lnTo>
                <a:lnTo>
                  <a:pt x="112867" y="149040"/>
                </a:lnTo>
                <a:lnTo>
                  <a:pt x="96315" y="176739"/>
                </a:lnTo>
                <a:lnTo>
                  <a:pt x="71374" y="175680"/>
                </a:lnTo>
                <a:lnTo>
                  <a:pt x="61374" y="160128"/>
                </a:lnTo>
                <a:lnTo>
                  <a:pt x="47916" y="85274"/>
                </a:lnTo>
                <a:lnTo>
                  <a:pt x="20291" y="78815"/>
                </a:lnTo>
                <a:lnTo>
                  <a:pt x="0" y="42172"/>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8" name="ID_211">
            <a:extLst>
              <a:ext uri="{FF2B5EF4-FFF2-40B4-BE49-F238E27FC236}">
                <a16:creationId xmlns:a16="http://schemas.microsoft.com/office/drawing/2014/main" id="{C9652F83-DCEA-4F96-9C58-65CA953A6702}"/>
              </a:ext>
            </a:extLst>
          </xdr:cNvPr>
          <xdr:cNvSpPr/>
        </xdr:nvSpPr>
        <xdr:spPr>
          <a:xfrm>
            <a:off x="7524294" y="5437099"/>
            <a:ext cx="83168" cy="145354"/>
          </a:xfrm>
          <a:custGeom>
            <a:avLst/>
            <a:gdLst/>
            <a:ahLst/>
            <a:cxnLst/>
            <a:rect l="0" t="0" r="0" b="0"/>
            <a:pathLst>
              <a:path w="83168" h="145354">
                <a:moveTo>
                  <a:pt x="56643" y="115842"/>
                </a:moveTo>
                <a:lnTo>
                  <a:pt x="37738" y="103326"/>
                </a:lnTo>
                <a:lnTo>
                  <a:pt x="19038" y="52977"/>
                </a:lnTo>
                <a:lnTo>
                  <a:pt x="0" y="37942"/>
                </a:lnTo>
                <a:lnTo>
                  <a:pt x="2110" y="0"/>
                </a:lnTo>
                <a:lnTo>
                  <a:pt x="42093" y="21887"/>
                </a:lnTo>
                <a:lnTo>
                  <a:pt x="33829" y="35982"/>
                </a:lnTo>
                <a:lnTo>
                  <a:pt x="53513" y="62069"/>
                </a:lnTo>
                <a:lnTo>
                  <a:pt x="50297" y="88982"/>
                </a:lnTo>
                <a:lnTo>
                  <a:pt x="73500" y="93177"/>
                </a:lnTo>
                <a:lnTo>
                  <a:pt x="83167" y="144046"/>
                </a:lnTo>
                <a:lnTo>
                  <a:pt x="60754" y="145353"/>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9" name="ID_212">
            <a:extLst>
              <a:ext uri="{FF2B5EF4-FFF2-40B4-BE49-F238E27FC236}">
                <a16:creationId xmlns:a16="http://schemas.microsoft.com/office/drawing/2014/main" id="{4C40B1BE-8FD5-46C5-81A4-D7F243E2FD2A}"/>
              </a:ext>
            </a:extLst>
          </xdr:cNvPr>
          <xdr:cNvSpPr/>
        </xdr:nvSpPr>
        <xdr:spPr>
          <a:xfrm>
            <a:off x="7407042" y="5438231"/>
            <a:ext cx="70943" cy="135077"/>
          </a:xfrm>
          <a:custGeom>
            <a:avLst/>
            <a:gdLst/>
            <a:ahLst/>
            <a:cxnLst/>
            <a:rect l="0" t="0" r="0" b="0"/>
            <a:pathLst>
              <a:path w="70943" h="135077">
                <a:moveTo>
                  <a:pt x="24728" y="15394"/>
                </a:moveTo>
                <a:lnTo>
                  <a:pt x="55868" y="0"/>
                </a:lnTo>
                <a:lnTo>
                  <a:pt x="67761" y="7386"/>
                </a:lnTo>
                <a:lnTo>
                  <a:pt x="51672" y="43605"/>
                </a:lnTo>
                <a:lnTo>
                  <a:pt x="70942" y="104523"/>
                </a:lnTo>
                <a:lnTo>
                  <a:pt x="56906" y="135076"/>
                </a:lnTo>
                <a:lnTo>
                  <a:pt x="30860" y="122950"/>
                </a:lnTo>
                <a:lnTo>
                  <a:pt x="40610" y="92644"/>
                </a:lnTo>
                <a:lnTo>
                  <a:pt x="34026" y="52682"/>
                </a:lnTo>
                <a:lnTo>
                  <a:pt x="0" y="59661"/>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0" name="ID_213">
            <a:extLst>
              <a:ext uri="{FF2B5EF4-FFF2-40B4-BE49-F238E27FC236}">
                <a16:creationId xmlns:a16="http://schemas.microsoft.com/office/drawing/2014/main" id="{F0B9AD31-79DC-4A10-90B1-11F93CA4A95A}"/>
              </a:ext>
            </a:extLst>
          </xdr:cNvPr>
          <xdr:cNvSpPr/>
        </xdr:nvSpPr>
        <xdr:spPr>
          <a:xfrm>
            <a:off x="7481571" y="5460797"/>
            <a:ext cx="57927" cy="95159"/>
          </a:xfrm>
          <a:custGeom>
            <a:avLst/>
            <a:gdLst/>
            <a:ahLst/>
            <a:cxnLst/>
            <a:rect l="0" t="0" r="0" b="0"/>
            <a:pathLst>
              <a:path w="57927" h="95159">
                <a:moveTo>
                  <a:pt x="57926" y="45637"/>
                </a:moveTo>
                <a:lnTo>
                  <a:pt x="47398" y="95158"/>
                </a:lnTo>
                <a:lnTo>
                  <a:pt x="16132" y="67210"/>
                </a:lnTo>
                <a:lnTo>
                  <a:pt x="0" y="27797"/>
                </a:lnTo>
                <a:lnTo>
                  <a:pt x="9876" y="0"/>
                </a:lnTo>
                <a:lnTo>
                  <a:pt x="28298" y="4486"/>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1" name="ID_214">
            <a:extLst>
              <a:ext uri="{FF2B5EF4-FFF2-40B4-BE49-F238E27FC236}">
                <a16:creationId xmlns:a16="http://schemas.microsoft.com/office/drawing/2014/main" id="{FD87D89D-66D4-4D08-8F08-801AF578364A}"/>
              </a:ext>
            </a:extLst>
          </xdr:cNvPr>
          <xdr:cNvSpPr/>
        </xdr:nvSpPr>
        <xdr:spPr>
          <a:xfrm>
            <a:off x="7564647" y="5470181"/>
            <a:ext cx="32825" cy="58639"/>
          </a:xfrm>
          <a:custGeom>
            <a:avLst/>
            <a:gdLst/>
            <a:ahLst/>
            <a:cxnLst/>
            <a:rect l="0" t="0" r="0" b="0"/>
            <a:pathLst>
              <a:path w="32825" h="58639">
                <a:moveTo>
                  <a:pt x="26042" y="12099"/>
                </a:moveTo>
                <a:lnTo>
                  <a:pt x="32824" y="54567"/>
                </a:lnTo>
                <a:lnTo>
                  <a:pt x="14886" y="58638"/>
                </a:lnTo>
                <a:lnTo>
                  <a:pt x="15690" y="31361"/>
                </a:lnTo>
                <a:lnTo>
                  <a:pt x="0"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2" name="ID_215">
            <a:extLst>
              <a:ext uri="{FF2B5EF4-FFF2-40B4-BE49-F238E27FC236}">
                <a16:creationId xmlns:a16="http://schemas.microsoft.com/office/drawing/2014/main" id="{386C6AD5-687A-4F66-B9F2-1A76B7AD393A}"/>
              </a:ext>
            </a:extLst>
          </xdr:cNvPr>
          <xdr:cNvSpPr/>
        </xdr:nvSpPr>
        <xdr:spPr>
          <a:xfrm>
            <a:off x="7342493" y="5488030"/>
            <a:ext cx="46819" cy="65423"/>
          </a:xfrm>
          <a:custGeom>
            <a:avLst/>
            <a:gdLst/>
            <a:ahLst/>
            <a:cxnLst/>
            <a:rect l="0" t="0" r="0" b="0"/>
            <a:pathLst>
              <a:path w="46819" h="65423">
                <a:moveTo>
                  <a:pt x="36136" y="65422"/>
                </a:moveTo>
                <a:lnTo>
                  <a:pt x="0" y="35190"/>
                </a:lnTo>
                <a:lnTo>
                  <a:pt x="7104" y="0"/>
                </a:lnTo>
                <a:lnTo>
                  <a:pt x="23191" y="39430"/>
                </a:lnTo>
                <a:lnTo>
                  <a:pt x="46818" y="59776"/>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3" name="ID_216">
            <a:extLst>
              <a:ext uri="{FF2B5EF4-FFF2-40B4-BE49-F238E27FC236}">
                <a16:creationId xmlns:a16="http://schemas.microsoft.com/office/drawing/2014/main" id="{04847FD0-2ECA-4373-8677-8D7CFDEFC970}"/>
              </a:ext>
            </a:extLst>
          </xdr:cNvPr>
          <xdr:cNvSpPr/>
        </xdr:nvSpPr>
        <xdr:spPr>
          <a:xfrm>
            <a:off x="7541678" y="5516966"/>
            <a:ext cx="39260" cy="50460"/>
          </a:xfrm>
          <a:custGeom>
            <a:avLst/>
            <a:gdLst/>
            <a:ahLst/>
            <a:cxnLst/>
            <a:rect l="0" t="0" r="0" b="0"/>
            <a:pathLst>
              <a:path w="39260" h="50460">
                <a:moveTo>
                  <a:pt x="39259" y="35975"/>
                </a:moveTo>
                <a:lnTo>
                  <a:pt x="24314" y="50459"/>
                </a:lnTo>
                <a:lnTo>
                  <a:pt x="0" y="27160"/>
                </a:lnTo>
                <a:lnTo>
                  <a:pt x="7515" y="0"/>
                </a:lnTo>
                <a:lnTo>
                  <a:pt x="20675" y="28987"/>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4" name="ID_217">
            <a:extLst>
              <a:ext uri="{FF2B5EF4-FFF2-40B4-BE49-F238E27FC236}">
                <a16:creationId xmlns:a16="http://schemas.microsoft.com/office/drawing/2014/main" id="{56CF5D1A-F86F-4CE9-B605-21751A1B3E6C}"/>
              </a:ext>
            </a:extLst>
          </xdr:cNvPr>
          <xdr:cNvSpPr/>
        </xdr:nvSpPr>
        <xdr:spPr>
          <a:xfrm>
            <a:off x="7368006" y="5548886"/>
            <a:ext cx="61362" cy="70266"/>
          </a:xfrm>
          <a:custGeom>
            <a:avLst/>
            <a:gdLst/>
            <a:ahLst/>
            <a:cxnLst/>
            <a:rect l="0" t="0" r="0" b="0"/>
            <a:pathLst>
              <a:path w="61362" h="70266">
                <a:moveTo>
                  <a:pt x="55218" y="31786"/>
                </a:moveTo>
                <a:lnTo>
                  <a:pt x="61361" y="55639"/>
                </a:lnTo>
                <a:lnTo>
                  <a:pt x="43528" y="70265"/>
                </a:lnTo>
                <a:lnTo>
                  <a:pt x="0" y="62140"/>
                </a:lnTo>
                <a:lnTo>
                  <a:pt x="3784" y="10499"/>
                </a:lnTo>
                <a:lnTo>
                  <a:pt x="46715"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5" name="ID_218">
            <a:extLst>
              <a:ext uri="{FF2B5EF4-FFF2-40B4-BE49-F238E27FC236}">
                <a16:creationId xmlns:a16="http://schemas.microsoft.com/office/drawing/2014/main" id="{62503BE5-D015-4960-A278-657878EEE62A}"/>
              </a:ext>
            </a:extLst>
          </xdr:cNvPr>
          <xdr:cNvSpPr/>
        </xdr:nvSpPr>
        <xdr:spPr>
          <a:xfrm>
            <a:off x="7457256" y="5581757"/>
            <a:ext cx="58084" cy="62635"/>
          </a:xfrm>
          <a:custGeom>
            <a:avLst/>
            <a:gdLst/>
            <a:ahLst/>
            <a:cxnLst/>
            <a:rect l="0" t="0" r="0" b="0"/>
            <a:pathLst>
              <a:path w="58084" h="62635">
                <a:moveTo>
                  <a:pt x="14117" y="4235"/>
                </a:moveTo>
                <a:lnTo>
                  <a:pt x="56519" y="26001"/>
                </a:lnTo>
                <a:lnTo>
                  <a:pt x="58083" y="53139"/>
                </a:lnTo>
                <a:lnTo>
                  <a:pt x="33259" y="62634"/>
                </a:lnTo>
                <a:lnTo>
                  <a:pt x="7528" y="47974"/>
                </a:lnTo>
                <a:lnTo>
                  <a:pt x="0"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4</xdr:col>
      <xdr:colOff>446216</xdr:colOff>
      <xdr:row>30</xdr:row>
      <xdr:rowOff>178711</xdr:rowOff>
    </xdr:from>
    <xdr:to>
      <xdr:col>6</xdr:col>
      <xdr:colOff>116452</xdr:colOff>
      <xdr:row>38</xdr:row>
      <xdr:rowOff>87837</xdr:rowOff>
    </xdr:to>
    <xdr:grpSp>
      <xdr:nvGrpSpPr>
        <xdr:cNvPr id="19" name="Freeform 16">
          <a:extLst>
            <a:ext uri="{FF2B5EF4-FFF2-40B4-BE49-F238E27FC236}">
              <a16:creationId xmlns:a16="http://schemas.microsoft.com/office/drawing/2014/main" id="{5B1AD203-51EA-4573-8202-1602CC29856A}"/>
            </a:ext>
          </a:extLst>
        </xdr:cNvPr>
        <xdr:cNvGrpSpPr>
          <a:grpSpLocks noChangeAspect="1"/>
        </xdr:cNvGrpSpPr>
      </xdr:nvGrpSpPr>
      <xdr:grpSpPr>
        <a:xfrm>
          <a:off x="3065591" y="5977055"/>
          <a:ext cx="884674" cy="1433126"/>
          <a:chOff x="6774922" y="4689086"/>
          <a:chExt cx="636766" cy="1025915"/>
        </a:xfrm>
        <a:solidFill>
          <a:srgbClr val="FF0000"/>
        </a:solidFill>
      </xdr:grpSpPr>
      <xdr:sp macro="" textlink="">
        <xdr:nvSpPr>
          <xdr:cNvPr id="28" name="ID_219">
            <a:extLst>
              <a:ext uri="{FF2B5EF4-FFF2-40B4-BE49-F238E27FC236}">
                <a16:creationId xmlns:a16="http://schemas.microsoft.com/office/drawing/2014/main" id="{9C2802C1-2488-421E-810F-5F3AD8E350F1}"/>
              </a:ext>
            </a:extLst>
          </xdr:cNvPr>
          <xdr:cNvSpPr/>
        </xdr:nvSpPr>
        <xdr:spPr>
          <a:xfrm>
            <a:off x="6839760" y="4689086"/>
            <a:ext cx="571928" cy="959493"/>
          </a:xfrm>
          <a:custGeom>
            <a:avLst/>
            <a:gdLst/>
            <a:ahLst/>
            <a:cxnLst/>
            <a:rect l="0" t="0" r="0" b="0"/>
            <a:pathLst>
              <a:path w="571928" h="959493">
                <a:moveTo>
                  <a:pt x="547368" y="416097"/>
                </a:moveTo>
                <a:lnTo>
                  <a:pt x="520294" y="417632"/>
                </a:lnTo>
                <a:lnTo>
                  <a:pt x="510569" y="447936"/>
                </a:lnTo>
                <a:lnTo>
                  <a:pt x="486910" y="467929"/>
                </a:lnTo>
                <a:lnTo>
                  <a:pt x="492998" y="499860"/>
                </a:lnTo>
                <a:lnTo>
                  <a:pt x="525925" y="517166"/>
                </a:lnTo>
                <a:lnTo>
                  <a:pt x="527148" y="538781"/>
                </a:lnTo>
                <a:lnTo>
                  <a:pt x="503329" y="556263"/>
                </a:lnTo>
                <a:lnTo>
                  <a:pt x="494037" y="594606"/>
                </a:lnTo>
                <a:lnTo>
                  <a:pt x="453127" y="596901"/>
                </a:lnTo>
                <a:lnTo>
                  <a:pt x="448473" y="556316"/>
                </a:lnTo>
                <a:lnTo>
                  <a:pt x="465190" y="531176"/>
                </a:lnTo>
                <a:lnTo>
                  <a:pt x="462795" y="488446"/>
                </a:lnTo>
                <a:lnTo>
                  <a:pt x="445453" y="459664"/>
                </a:lnTo>
                <a:lnTo>
                  <a:pt x="451919" y="413411"/>
                </a:lnTo>
                <a:lnTo>
                  <a:pt x="482356" y="386992"/>
                </a:lnTo>
                <a:lnTo>
                  <a:pt x="485129" y="360108"/>
                </a:lnTo>
                <a:lnTo>
                  <a:pt x="467399" y="366652"/>
                </a:lnTo>
                <a:lnTo>
                  <a:pt x="442444" y="405873"/>
                </a:lnTo>
                <a:lnTo>
                  <a:pt x="448544" y="429738"/>
                </a:lnTo>
                <a:lnTo>
                  <a:pt x="421024" y="466070"/>
                </a:lnTo>
                <a:lnTo>
                  <a:pt x="432429" y="465435"/>
                </a:lnTo>
                <a:lnTo>
                  <a:pt x="448601" y="515968"/>
                </a:lnTo>
                <a:lnTo>
                  <a:pt x="423912" y="560712"/>
                </a:lnTo>
                <a:lnTo>
                  <a:pt x="433120" y="606086"/>
                </a:lnTo>
                <a:lnTo>
                  <a:pt x="419657" y="647175"/>
                </a:lnTo>
                <a:lnTo>
                  <a:pt x="383182" y="643652"/>
                </a:lnTo>
                <a:lnTo>
                  <a:pt x="382888" y="681485"/>
                </a:lnTo>
                <a:lnTo>
                  <a:pt x="367483" y="687882"/>
                </a:lnTo>
                <a:lnTo>
                  <a:pt x="348065" y="664750"/>
                </a:lnTo>
                <a:lnTo>
                  <a:pt x="364655" y="636608"/>
                </a:lnTo>
                <a:lnTo>
                  <a:pt x="363018" y="606948"/>
                </a:lnTo>
                <a:lnTo>
                  <a:pt x="348336" y="591622"/>
                </a:lnTo>
                <a:lnTo>
                  <a:pt x="385391" y="562852"/>
                </a:lnTo>
                <a:lnTo>
                  <a:pt x="382413" y="509061"/>
                </a:lnTo>
                <a:lnTo>
                  <a:pt x="376634" y="568378"/>
                </a:lnTo>
                <a:lnTo>
                  <a:pt x="349386" y="567361"/>
                </a:lnTo>
                <a:lnTo>
                  <a:pt x="341539" y="589475"/>
                </a:lnTo>
                <a:lnTo>
                  <a:pt x="352486" y="623664"/>
                </a:lnTo>
                <a:lnTo>
                  <a:pt x="317509" y="647267"/>
                </a:lnTo>
                <a:lnTo>
                  <a:pt x="314727" y="596493"/>
                </a:lnTo>
                <a:lnTo>
                  <a:pt x="301372" y="605291"/>
                </a:lnTo>
                <a:lnTo>
                  <a:pt x="305372" y="634821"/>
                </a:lnTo>
                <a:lnTo>
                  <a:pt x="263418" y="653242"/>
                </a:lnTo>
                <a:lnTo>
                  <a:pt x="259373" y="701864"/>
                </a:lnTo>
                <a:lnTo>
                  <a:pt x="267786" y="733675"/>
                </a:lnTo>
                <a:lnTo>
                  <a:pt x="249852" y="737673"/>
                </a:lnTo>
                <a:lnTo>
                  <a:pt x="239635" y="681253"/>
                </a:lnTo>
                <a:lnTo>
                  <a:pt x="199468" y="688965"/>
                </a:lnTo>
                <a:lnTo>
                  <a:pt x="203320" y="680691"/>
                </a:lnTo>
                <a:lnTo>
                  <a:pt x="163421" y="693418"/>
                </a:lnTo>
                <a:lnTo>
                  <a:pt x="192939" y="691837"/>
                </a:lnTo>
                <a:lnTo>
                  <a:pt x="200630" y="710582"/>
                </a:lnTo>
                <a:lnTo>
                  <a:pt x="166028" y="742183"/>
                </a:lnTo>
                <a:lnTo>
                  <a:pt x="181222" y="776157"/>
                </a:lnTo>
                <a:lnTo>
                  <a:pt x="173890" y="808814"/>
                </a:lnTo>
                <a:lnTo>
                  <a:pt x="183241" y="813860"/>
                </a:lnTo>
                <a:lnTo>
                  <a:pt x="209007" y="866420"/>
                </a:lnTo>
                <a:lnTo>
                  <a:pt x="197796" y="915922"/>
                </a:lnTo>
                <a:lnTo>
                  <a:pt x="212764" y="936291"/>
                </a:lnTo>
                <a:lnTo>
                  <a:pt x="184342" y="959492"/>
                </a:lnTo>
                <a:lnTo>
                  <a:pt x="158807" y="947245"/>
                </a:lnTo>
                <a:lnTo>
                  <a:pt x="148618" y="926615"/>
                </a:lnTo>
                <a:lnTo>
                  <a:pt x="155511" y="885415"/>
                </a:lnTo>
                <a:lnTo>
                  <a:pt x="149458" y="861540"/>
                </a:lnTo>
                <a:lnTo>
                  <a:pt x="130914" y="854461"/>
                </a:lnTo>
                <a:lnTo>
                  <a:pt x="135878" y="821933"/>
                </a:lnTo>
                <a:lnTo>
                  <a:pt x="132724" y="762612"/>
                </a:lnTo>
                <a:lnTo>
                  <a:pt x="116958" y="717572"/>
                </a:lnTo>
                <a:lnTo>
                  <a:pt x="91816" y="675545"/>
                </a:lnTo>
                <a:lnTo>
                  <a:pt x="89398" y="629794"/>
                </a:lnTo>
                <a:lnTo>
                  <a:pt x="70203" y="609632"/>
                </a:lnTo>
                <a:lnTo>
                  <a:pt x="102725" y="575142"/>
                </a:lnTo>
                <a:lnTo>
                  <a:pt x="120696" y="536374"/>
                </a:lnTo>
                <a:lnTo>
                  <a:pt x="128016" y="503715"/>
                </a:lnTo>
                <a:lnTo>
                  <a:pt x="108752" y="437175"/>
                </a:lnTo>
                <a:lnTo>
                  <a:pt x="88995" y="405953"/>
                </a:lnTo>
                <a:lnTo>
                  <a:pt x="38148" y="389979"/>
                </a:lnTo>
                <a:lnTo>
                  <a:pt x="0" y="388952"/>
                </a:lnTo>
                <a:lnTo>
                  <a:pt x="8686" y="345640"/>
                </a:lnTo>
                <a:lnTo>
                  <a:pt x="8686" y="345640"/>
                </a:lnTo>
                <a:lnTo>
                  <a:pt x="17523" y="296268"/>
                </a:lnTo>
                <a:lnTo>
                  <a:pt x="14704" y="242463"/>
                </a:lnTo>
                <a:lnTo>
                  <a:pt x="46815" y="211026"/>
                </a:lnTo>
                <a:lnTo>
                  <a:pt x="28339" y="158043"/>
                </a:lnTo>
                <a:lnTo>
                  <a:pt x="63802" y="145585"/>
                </a:lnTo>
                <a:lnTo>
                  <a:pt x="85402" y="122757"/>
                </a:lnTo>
                <a:lnTo>
                  <a:pt x="120258" y="99219"/>
                </a:lnTo>
                <a:lnTo>
                  <a:pt x="112340" y="75436"/>
                </a:lnTo>
                <a:lnTo>
                  <a:pt x="141704" y="73867"/>
                </a:lnTo>
                <a:lnTo>
                  <a:pt x="141704" y="73867"/>
                </a:lnTo>
                <a:lnTo>
                  <a:pt x="156854" y="108355"/>
                </a:lnTo>
                <a:lnTo>
                  <a:pt x="193565" y="119491"/>
                </a:lnTo>
                <a:lnTo>
                  <a:pt x="220572" y="118031"/>
                </a:lnTo>
                <a:lnTo>
                  <a:pt x="221632" y="93767"/>
                </a:lnTo>
                <a:lnTo>
                  <a:pt x="247018" y="62634"/>
                </a:lnTo>
                <a:lnTo>
                  <a:pt x="247018" y="62634"/>
                </a:lnTo>
                <a:lnTo>
                  <a:pt x="246142" y="46544"/>
                </a:lnTo>
                <a:lnTo>
                  <a:pt x="273874" y="58647"/>
                </a:lnTo>
                <a:lnTo>
                  <a:pt x="291263" y="46600"/>
                </a:lnTo>
                <a:lnTo>
                  <a:pt x="333483" y="71512"/>
                </a:lnTo>
                <a:lnTo>
                  <a:pt x="358973" y="0"/>
                </a:lnTo>
                <a:lnTo>
                  <a:pt x="381974" y="12341"/>
                </a:lnTo>
                <a:lnTo>
                  <a:pt x="401448" y="37987"/>
                </a:lnTo>
                <a:lnTo>
                  <a:pt x="441209" y="103347"/>
                </a:lnTo>
                <a:lnTo>
                  <a:pt x="480123" y="144534"/>
                </a:lnTo>
                <a:lnTo>
                  <a:pt x="476290" y="160889"/>
                </a:lnTo>
                <a:lnTo>
                  <a:pt x="537490" y="200297"/>
                </a:lnTo>
                <a:lnTo>
                  <a:pt x="535890" y="214006"/>
                </a:lnTo>
                <a:lnTo>
                  <a:pt x="571927" y="211954"/>
                </a:lnTo>
                <a:lnTo>
                  <a:pt x="562840" y="252820"/>
                </a:lnTo>
                <a:lnTo>
                  <a:pt x="570443" y="260961"/>
                </a:lnTo>
                <a:lnTo>
                  <a:pt x="555306" y="312763"/>
                </a:lnTo>
                <a:lnTo>
                  <a:pt x="525190" y="344228"/>
                </a:lnTo>
                <a:lnTo>
                  <a:pt x="526728" y="371375"/>
                </a:lnTo>
                <a:lnTo>
                  <a:pt x="560056" y="396212"/>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24000" tIns="468000" rtlCol="0" anchor="t"/>
          <a:lstStyle/>
          <a:p>
            <a:pPr algn="l"/>
            <a:r>
              <a:rPr lang="en-IN" sz="900">
                <a:latin typeface="Calibri" panose="020F0502020204030204" pitchFamily="34" charset="0"/>
                <a:cs typeface="Calibri" panose="020F0502020204030204" pitchFamily="34" charset="0"/>
              </a:rPr>
              <a:t>SOUTH </a:t>
            </a:r>
          </a:p>
          <a:p>
            <a:pPr algn="l"/>
            <a:r>
              <a:rPr lang="en-IN" sz="900">
                <a:latin typeface="Calibri" panose="020F0502020204030204" pitchFamily="34" charset="0"/>
                <a:cs typeface="Calibri" panose="020F0502020204030204" pitchFamily="34" charset="0"/>
              </a:rPr>
              <a:t>24 PARGANAS</a:t>
            </a:r>
          </a:p>
        </xdr:txBody>
      </xdr:sp>
      <xdr:sp macro="" textlink="">
        <xdr:nvSpPr>
          <xdr:cNvPr id="29" name="ID_220">
            <a:extLst>
              <a:ext uri="{FF2B5EF4-FFF2-40B4-BE49-F238E27FC236}">
                <a16:creationId xmlns:a16="http://schemas.microsoft.com/office/drawing/2014/main" id="{4034AD70-7B14-45B0-AECC-347D6C78E18A}"/>
              </a:ext>
            </a:extLst>
          </xdr:cNvPr>
          <xdr:cNvSpPr/>
        </xdr:nvSpPr>
        <xdr:spPr>
          <a:xfrm>
            <a:off x="6868812" y="5253191"/>
            <a:ext cx="34460" cy="34078"/>
          </a:xfrm>
          <a:custGeom>
            <a:avLst/>
            <a:gdLst/>
            <a:ahLst/>
            <a:cxnLst/>
            <a:rect l="0" t="0" r="0" b="0"/>
            <a:pathLst>
              <a:path w="34460" h="34078">
                <a:moveTo>
                  <a:pt x="34459" y="0"/>
                </a:moveTo>
                <a:lnTo>
                  <a:pt x="22067" y="27374"/>
                </a:lnTo>
                <a:lnTo>
                  <a:pt x="0" y="34077"/>
                </a:lnTo>
                <a:lnTo>
                  <a:pt x="0" y="34077"/>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0" name="ID_221">
            <a:extLst>
              <a:ext uri="{FF2B5EF4-FFF2-40B4-BE49-F238E27FC236}">
                <a16:creationId xmlns:a16="http://schemas.microsoft.com/office/drawing/2014/main" id="{AD28957E-E8B0-4974-BDB7-85FD0FDA27CF}"/>
              </a:ext>
            </a:extLst>
          </xdr:cNvPr>
          <xdr:cNvSpPr/>
        </xdr:nvSpPr>
        <xdr:spPr>
          <a:xfrm>
            <a:off x="7289513" y="5310116"/>
            <a:ext cx="28014" cy="39709"/>
          </a:xfrm>
          <a:custGeom>
            <a:avLst/>
            <a:gdLst/>
            <a:ahLst/>
            <a:cxnLst/>
            <a:rect l="0" t="0" r="0" b="0"/>
            <a:pathLst>
              <a:path w="28014" h="39709">
                <a:moveTo>
                  <a:pt x="26395" y="20469"/>
                </a:moveTo>
                <a:lnTo>
                  <a:pt x="16015" y="39708"/>
                </a:lnTo>
                <a:lnTo>
                  <a:pt x="0" y="35057"/>
                </a:lnTo>
                <a:lnTo>
                  <a:pt x="4723" y="0"/>
                </a:lnTo>
                <a:lnTo>
                  <a:pt x="28013" y="6763"/>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1" name="ID_222">
            <a:extLst>
              <a:ext uri="{FF2B5EF4-FFF2-40B4-BE49-F238E27FC236}">
                <a16:creationId xmlns:a16="http://schemas.microsoft.com/office/drawing/2014/main" id="{4D9100DE-2C4E-4174-92CD-8F0E921E3F75}"/>
              </a:ext>
            </a:extLst>
          </xdr:cNvPr>
          <xdr:cNvSpPr/>
        </xdr:nvSpPr>
        <xdr:spPr>
          <a:xfrm>
            <a:off x="6886754" y="5329181"/>
            <a:ext cx="22950" cy="23936"/>
          </a:xfrm>
          <a:custGeom>
            <a:avLst/>
            <a:gdLst/>
            <a:ahLst/>
            <a:cxnLst/>
            <a:rect l="0" t="0" r="0" b="0"/>
            <a:pathLst>
              <a:path w="22950" h="23936">
                <a:moveTo>
                  <a:pt x="22949" y="9885"/>
                </a:moveTo>
                <a:lnTo>
                  <a:pt x="14621" y="23935"/>
                </a:lnTo>
                <a:lnTo>
                  <a:pt x="0"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2" name="ID_223">
            <a:extLst>
              <a:ext uri="{FF2B5EF4-FFF2-40B4-BE49-F238E27FC236}">
                <a16:creationId xmlns:a16="http://schemas.microsoft.com/office/drawing/2014/main" id="{7FB2CF06-14D0-4629-B62D-5605781B1516}"/>
              </a:ext>
            </a:extLst>
          </xdr:cNvPr>
          <xdr:cNvSpPr/>
        </xdr:nvSpPr>
        <xdr:spPr>
          <a:xfrm>
            <a:off x="7110822" y="5331951"/>
            <a:ext cx="71970" cy="96258"/>
          </a:xfrm>
          <a:custGeom>
            <a:avLst/>
            <a:gdLst/>
            <a:ahLst/>
            <a:cxnLst/>
            <a:rect l="0" t="0" r="0" b="0"/>
            <a:pathLst>
              <a:path w="71970" h="96258">
                <a:moveTo>
                  <a:pt x="12440" y="89956"/>
                </a:moveTo>
                <a:lnTo>
                  <a:pt x="0" y="71977"/>
                </a:lnTo>
                <a:lnTo>
                  <a:pt x="30" y="28615"/>
                </a:lnTo>
                <a:lnTo>
                  <a:pt x="17104" y="9030"/>
                </a:lnTo>
                <a:lnTo>
                  <a:pt x="34750" y="0"/>
                </a:lnTo>
                <a:lnTo>
                  <a:pt x="58612" y="17348"/>
                </a:lnTo>
                <a:lnTo>
                  <a:pt x="71969" y="51910"/>
                </a:lnTo>
                <a:lnTo>
                  <a:pt x="53401" y="52929"/>
                </a:lnTo>
                <a:lnTo>
                  <a:pt x="39009" y="77918"/>
                </a:lnTo>
                <a:lnTo>
                  <a:pt x="44789" y="96257"/>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3" name="ID_224">
            <a:extLst>
              <a:ext uri="{FF2B5EF4-FFF2-40B4-BE49-F238E27FC236}">
                <a16:creationId xmlns:a16="http://schemas.microsoft.com/office/drawing/2014/main" id="{1A452394-227B-4845-821C-8B0570203843}"/>
              </a:ext>
            </a:extLst>
          </xdr:cNvPr>
          <xdr:cNvSpPr/>
        </xdr:nvSpPr>
        <xdr:spPr>
          <a:xfrm>
            <a:off x="7265967" y="5332475"/>
            <a:ext cx="40463" cy="95768"/>
          </a:xfrm>
          <a:custGeom>
            <a:avLst/>
            <a:gdLst/>
            <a:ahLst/>
            <a:cxnLst/>
            <a:rect l="0" t="0" r="0" b="0"/>
            <a:pathLst>
              <a:path w="40463" h="95768">
                <a:moveTo>
                  <a:pt x="40462" y="33434"/>
                </a:moveTo>
                <a:lnTo>
                  <a:pt x="34875" y="95767"/>
                </a:lnTo>
                <a:lnTo>
                  <a:pt x="13218" y="75799"/>
                </a:lnTo>
                <a:lnTo>
                  <a:pt x="14534" y="56565"/>
                </a:lnTo>
                <a:lnTo>
                  <a:pt x="0" y="35693"/>
                </a:lnTo>
                <a:lnTo>
                  <a:pt x="16154"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4" name="ID_225">
            <a:extLst>
              <a:ext uri="{FF2B5EF4-FFF2-40B4-BE49-F238E27FC236}">
                <a16:creationId xmlns:a16="http://schemas.microsoft.com/office/drawing/2014/main" id="{F177832C-91DC-4F92-921E-330A6C35787C}"/>
              </a:ext>
            </a:extLst>
          </xdr:cNvPr>
          <xdr:cNvSpPr/>
        </xdr:nvSpPr>
        <xdr:spPr>
          <a:xfrm>
            <a:off x="7218974" y="5348455"/>
            <a:ext cx="17926" cy="33413"/>
          </a:xfrm>
          <a:custGeom>
            <a:avLst/>
            <a:gdLst/>
            <a:ahLst/>
            <a:cxnLst/>
            <a:rect l="0" t="0" r="0" b="0"/>
            <a:pathLst>
              <a:path w="17926" h="33413">
                <a:moveTo>
                  <a:pt x="11521" y="0"/>
                </a:moveTo>
                <a:lnTo>
                  <a:pt x="17925" y="29395"/>
                </a:lnTo>
                <a:lnTo>
                  <a:pt x="0" y="33412"/>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5" name="ID_226">
            <a:extLst>
              <a:ext uri="{FF2B5EF4-FFF2-40B4-BE49-F238E27FC236}">
                <a16:creationId xmlns:a16="http://schemas.microsoft.com/office/drawing/2014/main" id="{4BB79821-4FA9-4DA1-9C99-776EFE9D2186}"/>
              </a:ext>
            </a:extLst>
          </xdr:cNvPr>
          <xdr:cNvSpPr/>
        </xdr:nvSpPr>
        <xdr:spPr>
          <a:xfrm>
            <a:off x="6875014" y="5376998"/>
            <a:ext cx="63977" cy="171711"/>
          </a:xfrm>
          <a:custGeom>
            <a:avLst/>
            <a:gdLst/>
            <a:ahLst/>
            <a:cxnLst/>
            <a:rect l="0" t="0" r="0" b="0"/>
            <a:pathLst>
              <a:path w="63977" h="171711">
                <a:moveTo>
                  <a:pt x="45735" y="171710"/>
                </a:moveTo>
                <a:lnTo>
                  <a:pt x="42053" y="101832"/>
                </a:lnTo>
                <a:lnTo>
                  <a:pt x="18101" y="73348"/>
                </a:lnTo>
                <a:lnTo>
                  <a:pt x="0" y="74297"/>
                </a:lnTo>
                <a:lnTo>
                  <a:pt x="8901" y="25433"/>
                </a:lnTo>
                <a:lnTo>
                  <a:pt x="32391" y="0"/>
                </a:lnTo>
                <a:lnTo>
                  <a:pt x="59405" y="41427"/>
                </a:lnTo>
                <a:lnTo>
                  <a:pt x="63976" y="127897"/>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6" name="ID_227">
            <a:extLst>
              <a:ext uri="{FF2B5EF4-FFF2-40B4-BE49-F238E27FC236}">
                <a16:creationId xmlns:a16="http://schemas.microsoft.com/office/drawing/2014/main" id="{4C41F1EF-A4CE-4CD3-AF7C-994ED9C0D7C9}"/>
              </a:ext>
            </a:extLst>
          </xdr:cNvPr>
          <xdr:cNvSpPr/>
        </xdr:nvSpPr>
        <xdr:spPr>
          <a:xfrm>
            <a:off x="7249354" y="5376476"/>
            <a:ext cx="29076" cy="45107"/>
          </a:xfrm>
          <a:custGeom>
            <a:avLst/>
            <a:gdLst/>
            <a:ahLst/>
            <a:cxnLst/>
            <a:rect l="0" t="0" r="0" b="0"/>
            <a:pathLst>
              <a:path w="29076" h="45107">
                <a:moveTo>
                  <a:pt x="26274" y="45106"/>
                </a:moveTo>
                <a:lnTo>
                  <a:pt x="0" y="27911"/>
                </a:lnTo>
                <a:lnTo>
                  <a:pt x="12300" y="0"/>
                </a:lnTo>
                <a:lnTo>
                  <a:pt x="29075" y="18226"/>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7" name="ID_228">
            <a:extLst>
              <a:ext uri="{FF2B5EF4-FFF2-40B4-BE49-F238E27FC236}">
                <a16:creationId xmlns:a16="http://schemas.microsoft.com/office/drawing/2014/main" id="{93625A4A-7E74-40BF-AA46-1C960F355719}"/>
              </a:ext>
            </a:extLst>
          </xdr:cNvPr>
          <xdr:cNvSpPr/>
        </xdr:nvSpPr>
        <xdr:spPr>
          <a:xfrm>
            <a:off x="7010209" y="5379950"/>
            <a:ext cx="61174" cy="71107"/>
          </a:xfrm>
          <a:custGeom>
            <a:avLst/>
            <a:gdLst/>
            <a:ahLst/>
            <a:cxnLst/>
            <a:rect l="0" t="0" r="0" b="0"/>
            <a:pathLst>
              <a:path w="61174" h="71107">
                <a:moveTo>
                  <a:pt x="21478" y="71106"/>
                </a:moveTo>
                <a:lnTo>
                  <a:pt x="0" y="53603"/>
                </a:lnTo>
                <a:lnTo>
                  <a:pt x="34602" y="22002"/>
                </a:lnTo>
                <a:lnTo>
                  <a:pt x="40581" y="0"/>
                </a:lnTo>
                <a:lnTo>
                  <a:pt x="61173" y="9981"/>
                </a:lnTo>
                <a:lnTo>
                  <a:pt x="37118" y="24387"/>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8" name="ID_229">
            <a:extLst>
              <a:ext uri="{FF2B5EF4-FFF2-40B4-BE49-F238E27FC236}">
                <a16:creationId xmlns:a16="http://schemas.microsoft.com/office/drawing/2014/main" id="{1F1303BF-FD93-4CDE-9FE1-42F1CE825468}"/>
              </a:ext>
            </a:extLst>
          </xdr:cNvPr>
          <xdr:cNvSpPr/>
        </xdr:nvSpPr>
        <xdr:spPr>
          <a:xfrm>
            <a:off x="7168808" y="5397323"/>
            <a:ext cx="22281" cy="27643"/>
          </a:xfrm>
          <a:custGeom>
            <a:avLst/>
            <a:gdLst/>
            <a:ahLst/>
            <a:cxnLst/>
            <a:rect l="0" t="0" r="0" b="0"/>
            <a:pathLst>
              <a:path w="22281" h="27643">
                <a:moveTo>
                  <a:pt x="7559" y="0"/>
                </a:moveTo>
                <a:lnTo>
                  <a:pt x="22280" y="15830"/>
                </a:lnTo>
                <a:lnTo>
                  <a:pt x="0" y="27642"/>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9" name="ID_230">
            <a:extLst>
              <a:ext uri="{FF2B5EF4-FFF2-40B4-BE49-F238E27FC236}">
                <a16:creationId xmlns:a16="http://schemas.microsoft.com/office/drawing/2014/main" id="{1C5C6C7D-1783-4F56-ADA1-736D01ECA832}"/>
              </a:ext>
            </a:extLst>
          </xdr:cNvPr>
          <xdr:cNvSpPr/>
        </xdr:nvSpPr>
        <xdr:spPr>
          <a:xfrm>
            <a:off x="7201298" y="5419199"/>
            <a:ext cx="79876" cy="126802"/>
          </a:xfrm>
          <a:custGeom>
            <a:avLst/>
            <a:gdLst/>
            <a:ahLst/>
            <a:cxnLst/>
            <a:rect l="0" t="0" r="0" b="0"/>
            <a:pathLst>
              <a:path w="79876" h="126802">
                <a:moveTo>
                  <a:pt x="9051" y="14069"/>
                </a:moveTo>
                <a:lnTo>
                  <a:pt x="26427" y="0"/>
                </a:lnTo>
                <a:lnTo>
                  <a:pt x="42421" y="4157"/>
                </a:lnTo>
                <a:lnTo>
                  <a:pt x="35321" y="39845"/>
                </a:lnTo>
                <a:lnTo>
                  <a:pt x="45571" y="60957"/>
                </a:lnTo>
                <a:lnTo>
                  <a:pt x="79875" y="101907"/>
                </a:lnTo>
                <a:lnTo>
                  <a:pt x="76479" y="126801"/>
                </a:lnTo>
                <a:lnTo>
                  <a:pt x="46769" y="82571"/>
                </a:lnTo>
                <a:lnTo>
                  <a:pt x="12184" y="70871"/>
                </a:lnTo>
                <a:lnTo>
                  <a:pt x="0" y="57929"/>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0" name="ID_231">
            <a:extLst>
              <a:ext uri="{FF2B5EF4-FFF2-40B4-BE49-F238E27FC236}">
                <a16:creationId xmlns:a16="http://schemas.microsoft.com/office/drawing/2014/main" id="{B49AD9E8-051E-4265-89B5-82AE73327AB8}"/>
              </a:ext>
            </a:extLst>
          </xdr:cNvPr>
          <xdr:cNvSpPr/>
        </xdr:nvSpPr>
        <xdr:spPr>
          <a:xfrm>
            <a:off x="7103957" y="5424430"/>
            <a:ext cx="40664" cy="69874"/>
          </a:xfrm>
          <a:custGeom>
            <a:avLst/>
            <a:gdLst/>
            <a:ahLst/>
            <a:cxnLst/>
            <a:rect l="0" t="0" r="0" b="0"/>
            <a:pathLst>
              <a:path w="40664" h="69874">
                <a:moveTo>
                  <a:pt x="30273" y="32172"/>
                </a:moveTo>
                <a:lnTo>
                  <a:pt x="32328" y="69873"/>
                </a:lnTo>
                <a:lnTo>
                  <a:pt x="0" y="20206"/>
                </a:lnTo>
                <a:lnTo>
                  <a:pt x="28518" y="0"/>
                </a:lnTo>
                <a:lnTo>
                  <a:pt x="40663" y="12446"/>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1" name="ID_232">
            <a:extLst>
              <a:ext uri="{FF2B5EF4-FFF2-40B4-BE49-F238E27FC236}">
                <a16:creationId xmlns:a16="http://schemas.microsoft.com/office/drawing/2014/main" id="{981B1055-FACC-4A0A-A9CA-F3BF29588301}"/>
              </a:ext>
            </a:extLst>
          </xdr:cNvPr>
          <xdr:cNvSpPr/>
        </xdr:nvSpPr>
        <xdr:spPr>
          <a:xfrm>
            <a:off x="7043120" y="5433022"/>
            <a:ext cx="51487" cy="74227"/>
          </a:xfrm>
          <a:custGeom>
            <a:avLst/>
            <a:gdLst/>
            <a:ahLst/>
            <a:cxnLst/>
            <a:rect l="0" t="0" r="0" b="0"/>
            <a:pathLst>
              <a:path w="51487" h="74227">
                <a:moveTo>
                  <a:pt x="32168" y="64590"/>
                </a:moveTo>
                <a:lnTo>
                  <a:pt x="3054" y="74226"/>
                </a:lnTo>
                <a:lnTo>
                  <a:pt x="0" y="17421"/>
                </a:lnTo>
                <a:lnTo>
                  <a:pt x="23902" y="0"/>
                </a:lnTo>
                <a:lnTo>
                  <a:pt x="51486" y="6575"/>
                </a:lnTo>
                <a:lnTo>
                  <a:pt x="48071" y="22893"/>
                </a:lnTo>
                <a:lnTo>
                  <a:pt x="25937" y="37703"/>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2" name="ID_233">
            <a:extLst>
              <a:ext uri="{FF2B5EF4-FFF2-40B4-BE49-F238E27FC236}">
                <a16:creationId xmlns:a16="http://schemas.microsoft.com/office/drawing/2014/main" id="{ED95EC0E-AEDE-45B3-BDE9-944EF364309B}"/>
              </a:ext>
            </a:extLst>
          </xdr:cNvPr>
          <xdr:cNvSpPr/>
        </xdr:nvSpPr>
        <xdr:spPr>
          <a:xfrm>
            <a:off x="7265093" y="5432003"/>
            <a:ext cx="31498" cy="39841"/>
          </a:xfrm>
          <a:custGeom>
            <a:avLst/>
            <a:gdLst/>
            <a:ahLst/>
            <a:cxnLst/>
            <a:rect l="0" t="0" r="0" b="0"/>
            <a:pathLst>
              <a:path w="31498" h="39841">
                <a:moveTo>
                  <a:pt x="31497" y="39840"/>
                </a:moveTo>
                <a:lnTo>
                  <a:pt x="1201" y="27915"/>
                </a:lnTo>
                <a:lnTo>
                  <a:pt x="0" y="6300"/>
                </a:lnTo>
                <a:lnTo>
                  <a:pt x="22582"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3" name="ID_234">
            <a:extLst>
              <a:ext uri="{FF2B5EF4-FFF2-40B4-BE49-F238E27FC236}">
                <a16:creationId xmlns:a16="http://schemas.microsoft.com/office/drawing/2014/main" id="{E79BB913-B1D0-45C7-AB20-E7339D56AF04}"/>
              </a:ext>
            </a:extLst>
          </xdr:cNvPr>
          <xdr:cNvSpPr/>
        </xdr:nvSpPr>
        <xdr:spPr>
          <a:xfrm>
            <a:off x="7134969" y="5435521"/>
            <a:ext cx="40179" cy="159573"/>
          </a:xfrm>
          <a:custGeom>
            <a:avLst/>
            <a:gdLst/>
            <a:ahLst/>
            <a:cxnLst/>
            <a:rect l="0" t="0" r="0" b="0"/>
            <a:pathLst>
              <a:path w="40179" h="159573">
                <a:moveTo>
                  <a:pt x="34418" y="0"/>
                </a:moveTo>
                <a:lnTo>
                  <a:pt x="22869" y="33404"/>
                </a:lnTo>
                <a:lnTo>
                  <a:pt x="24932" y="71105"/>
                </a:lnTo>
                <a:lnTo>
                  <a:pt x="40178" y="105057"/>
                </a:lnTo>
                <a:lnTo>
                  <a:pt x="29771" y="159572"/>
                </a:lnTo>
                <a:lnTo>
                  <a:pt x="2302" y="120740"/>
                </a:lnTo>
                <a:lnTo>
                  <a:pt x="11989" y="87946"/>
                </a:lnTo>
                <a:lnTo>
                  <a:pt x="0" y="34654"/>
                </a:lnTo>
                <a:lnTo>
                  <a:pt x="13937" y="1121"/>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4" name="ID_235">
            <a:extLst>
              <a:ext uri="{FF2B5EF4-FFF2-40B4-BE49-F238E27FC236}">
                <a16:creationId xmlns:a16="http://schemas.microsoft.com/office/drawing/2014/main" id="{2F234A03-E9D5-4598-BA05-1157A45D72A2}"/>
              </a:ext>
            </a:extLst>
          </xdr:cNvPr>
          <xdr:cNvSpPr/>
        </xdr:nvSpPr>
        <xdr:spPr>
          <a:xfrm>
            <a:off x="7251726" y="5447114"/>
            <a:ext cx="31804" cy="40318"/>
          </a:xfrm>
          <a:custGeom>
            <a:avLst/>
            <a:gdLst/>
            <a:ahLst/>
            <a:cxnLst/>
            <a:rect l="0" t="0" r="0" b="0"/>
            <a:pathLst>
              <a:path w="31804" h="40318">
                <a:moveTo>
                  <a:pt x="19640" y="18068"/>
                </a:moveTo>
                <a:lnTo>
                  <a:pt x="31803" y="39071"/>
                </a:lnTo>
                <a:lnTo>
                  <a:pt x="9408" y="40317"/>
                </a:lnTo>
                <a:lnTo>
                  <a:pt x="0"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5" name="ID_236">
            <a:extLst>
              <a:ext uri="{FF2B5EF4-FFF2-40B4-BE49-F238E27FC236}">
                <a16:creationId xmlns:a16="http://schemas.microsoft.com/office/drawing/2014/main" id="{E5EFCA66-A73D-403E-9501-713FBAC11F82}"/>
              </a:ext>
            </a:extLst>
          </xdr:cNvPr>
          <xdr:cNvSpPr/>
        </xdr:nvSpPr>
        <xdr:spPr>
          <a:xfrm>
            <a:off x="6839928" y="5453712"/>
            <a:ext cx="89538" cy="138456"/>
          </a:xfrm>
          <a:custGeom>
            <a:avLst/>
            <a:gdLst/>
            <a:ahLst/>
            <a:cxnLst/>
            <a:rect l="0" t="0" r="0" b="0"/>
            <a:pathLst>
              <a:path w="89538" h="138456">
                <a:moveTo>
                  <a:pt x="13508" y="69286"/>
                </a:moveTo>
                <a:lnTo>
                  <a:pt x="25492" y="33373"/>
                </a:lnTo>
                <a:lnTo>
                  <a:pt x="24493" y="14269"/>
                </a:lnTo>
                <a:lnTo>
                  <a:pt x="46676" y="0"/>
                </a:lnTo>
                <a:lnTo>
                  <a:pt x="68086" y="25594"/>
                </a:lnTo>
                <a:lnTo>
                  <a:pt x="62419" y="45049"/>
                </a:lnTo>
                <a:lnTo>
                  <a:pt x="77510" y="68452"/>
                </a:lnTo>
                <a:lnTo>
                  <a:pt x="69300" y="85016"/>
                </a:lnTo>
                <a:lnTo>
                  <a:pt x="89537" y="124279"/>
                </a:lnTo>
                <a:lnTo>
                  <a:pt x="78806" y="138455"/>
                </a:lnTo>
                <a:lnTo>
                  <a:pt x="19247" y="133511"/>
                </a:lnTo>
                <a:lnTo>
                  <a:pt x="0" y="112837"/>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6" name="ID_237">
            <a:extLst>
              <a:ext uri="{FF2B5EF4-FFF2-40B4-BE49-F238E27FC236}">
                <a16:creationId xmlns:a16="http://schemas.microsoft.com/office/drawing/2014/main" id="{D15D4C44-F19F-469E-9E03-DA18B9576D80}"/>
              </a:ext>
            </a:extLst>
          </xdr:cNvPr>
          <xdr:cNvSpPr/>
        </xdr:nvSpPr>
        <xdr:spPr>
          <a:xfrm>
            <a:off x="7075727" y="5461445"/>
            <a:ext cx="40805" cy="70132"/>
          </a:xfrm>
          <a:custGeom>
            <a:avLst/>
            <a:gdLst/>
            <a:ahLst/>
            <a:cxnLst/>
            <a:rect l="0" t="0" r="0" b="0"/>
            <a:pathLst>
              <a:path w="40805" h="70132">
                <a:moveTo>
                  <a:pt x="15763" y="0"/>
                </a:moveTo>
                <a:lnTo>
                  <a:pt x="17805" y="37702"/>
                </a:lnTo>
                <a:lnTo>
                  <a:pt x="40804" y="47545"/>
                </a:lnTo>
                <a:lnTo>
                  <a:pt x="14781" y="70131"/>
                </a:lnTo>
                <a:lnTo>
                  <a:pt x="429" y="52254"/>
                </a:lnTo>
                <a:lnTo>
                  <a:pt x="0" y="892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7" name="ID_238">
            <a:extLst>
              <a:ext uri="{FF2B5EF4-FFF2-40B4-BE49-F238E27FC236}">
                <a16:creationId xmlns:a16="http://schemas.microsoft.com/office/drawing/2014/main" id="{A2B7AA03-0D1E-48A2-B118-D9D9D187F404}"/>
              </a:ext>
            </a:extLst>
          </xdr:cNvPr>
          <xdr:cNvSpPr/>
        </xdr:nvSpPr>
        <xdr:spPr>
          <a:xfrm>
            <a:off x="7100067" y="5481846"/>
            <a:ext cx="50102" cy="118241"/>
          </a:xfrm>
          <a:custGeom>
            <a:avLst/>
            <a:gdLst/>
            <a:ahLst/>
            <a:cxnLst/>
            <a:rect l="0" t="0" r="0" b="0"/>
            <a:pathLst>
              <a:path w="50102" h="118241">
                <a:moveTo>
                  <a:pt x="28590" y="118240"/>
                </a:moveTo>
                <a:lnTo>
                  <a:pt x="10464" y="83936"/>
                </a:lnTo>
                <a:lnTo>
                  <a:pt x="8855" y="54278"/>
                </a:lnTo>
                <a:lnTo>
                  <a:pt x="23176" y="18713"/>
                </a:lnTo>
                <a:lnTo>
                  <a:pt x="0" y="14426"/>
                </a:lnTo>
                <a:lnTo>
                  <a:pt x="14989" y="0"/>
                </a:lnTo>
                <a:lnTo>
                  <a:pt x="29546" y="12821"/>
                </a:lnTo>
                <a:lnTo>
                  <a:pt x="30530" y="74778"/>
                </a:lnTo>
                <a:lnTo>
                  <a:pt x="50101" y="100431"/>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8" name="ID_239">
            <a:extLst>
              <a:ext uri="{FF2B5EF4-FFF2-40B4-BE49-F238E27FC236}">
                <a16:creationId xmlns:a16="http://schemas.microsoft.com/office/drawing/2014/main" id="{4EEB34C9-A0C8-4899-A0C1-55C2DA4580A1}"/>
              </a:ext>
            </a:extLst>
          </xdr:cNvPr>
          <xdr:cNvSpPr/>
        </xdr:nvSpPr>
        <xdr:spPr>
          <a:xfrm>
            <a:off x="7214508" y="5506796"/>
            <a:ext cx="35789" cy="57671"/>
          </a:xfrm>
          <a:custGeom>
            <a:avLst/>
            <a:gdLst/>
            <a:ahLst/>
            <a:cxnLst/>
            <a:rect l="0" t="0" r="0" b="0"/>
            <a:pathLst>
              <a:path w="35789" h="57671">
                <a:moveTo>
                  <a:pt x="33838" y="0"/>
                </a:moveTo>
                <a:lnTo>
                  <a:pt x="35788" y="35185"/>
                </a:lnTo>
                <a:lnTo>
                  <a:pt x="21252" y="57670"/>
                </a:lnTo>
                <a:lnTo>
                  <a:pt x="9059" y="44731"/>
                </a:lnTo>
                <a:lnTo>
                  <a:pt x="0" y="1872"/>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9" name="ID_240">
            <a:extLst>
              <a:ext uri="{FF2B5EF4-FFF2-40B4-BE49-F238E27FC236}">
                <a16:creationId xmlns:a16="http://schemas.microsoft.com/office/drawing/2014/main" id="{8C0FDE35-8F3E-4A96-BDC1-26F3C970289E}"/>
              </a:ext>
            </a:extLst>
          </xdr:cNvPr>
          <xdr:cNvSpPr/>
        </xdr:nvSpPr>
        <xdr:spPr>
          <a:xfrm>
            <a:off x="7050895" y="5515060"/>
            <a:ext cx="32940" cy="88975"/>
          </a:xfrm>
          <a:custGeom>
            <a:avLst/>
            <a:gdLst/>
            <a:ahLst/>
            <a:cxnLst/>
            <a:rect l="0" t="0" r="0" b="0"/>
            <a:pathLst>
              <a:path w="32940" h="88975">
                <a:moveTo>
                  <a:pt x="32022" y="44151"/>
                </a:moveTo>
                <a:lnTo>
                  <a:pt x="30942" y="68407"/>
                </a:lnTo>
                <a:lnTo>
                  <a:pt x="4787" y="88974"/>
                </a:lnTo>
                <a:lnTo>
                  <a:pt x="8747" y="29274"/>
                </a:lnTo>
                <a:lnTo>
                  <a:pt x="0" y="0"/>
                </a:lnTo>
                <a:lnTo>
                  <a:pt x="32939" y="16877"/>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0" name="ID_241">
            <a:extLst>
              <a:ext uri="{FF2B5EF4-FFF2-40B4-BE49-F238E27FC236}">
                <a16:creationId xmlns:a16="http://schemas.microsoft.com/office/drawing/2014/main" id="{47119E4E-C657-4E4F-B3E2-5BF283FF5828}"/>
              </a:ext>
            </a:extLst>
          </xdr:cNvPr>
          <xdr:cNvSpPr/>
        </xdr:nvSpPr>
        <xdr:spPr>
          <a:xfrm>
            <a:off x="6953276" y="5546414"/>
            <a:ext cx="34576" cy="69770"/>
          </a:xfrm>
          <a:custGeom>
            <a:avLst/>
            <a:gdLst/>
            <a:ahLst/>
            <a:cxnLst/>
            <a:rect l="0" t="0" r="0" b="0"/>
            <a:pathLst>
              <a:path w="34576" h="69770">
                <a:moveTo>
                  <a:pt x="34575" y="23441"/>
                </a:moveTo>
                <a:lnTo>
                  <a:pt x="26039" y="69769"/>
                </a:lnTo>
                <a:lnTo>
                  <a:pt x="0" y="11666"/>
                </a:lnTo>
                <a:lnTo>
                  <a:pt x="10857"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1" name="ID_242">
            <a:extLst>
              <a:ext uri="{FF2B5EF4-FFF2-40B4-BE49-F238E27FC236}">
                <a16:creationId xmlns:a16="http://schemas.microsoft.com/office/drawing/2014/main" id="{5F37B164-4233-48BE-84B7-0194FA91ABFA}"/>
              </a:ext>
            </a:extLst>
          </xdr:cNvPr>
          <xdr:cNvSpPr/>
        </xdr:nvSpPr>
        <xdr:spPr>
          <a:xfrm>
            <a:off x="7247037" y="5522511"/>
            <a:ext cx="37302" cy="61691"/>
          </a:xfrm>
          <a:custGeom>
            <a:avLst/>
            <a:gdLst/>
            <a:ahLst/>
            <a:cxnLst/>
            <a:rect l="0" t="0" r="0" b="0"/>
            <a:pathLst>
              <a:path w="37302" h="61691">
                <a:moveTo>
                  <a:pt x="24514" y="31903"/>
                </a:moveTo>
                <a:lnTo>
                  <a:pt x="37301" y="55392"/>
                </a:lnTo>
                <a:lnTo>
                  <a:pt x="23778" y="61690"/>
                </a:lnTo>
                <a:lnTo>
                  <a:pt x="0" y="38305"/>
                </a:lnTo>
                <a:lnTo>
                  <a:pt x="8874"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2" name="ID_243">
            <a:extLst>
              <a:ext uri="{FF2B5EF4-FFF2-40B4-BE49-F238E27FC236}">
                <a16:creationId xmlns:a16="http://schemas.microsoft.com/office/drawing/2014/main" id="{8146F474-2EE5-4199-B94A-52A7DE849606}"/>
              </a:ext>
            </a:extLst>
          </xdr:cNvPr>
          <xdr:cNvSpPr/>
        </xdr:nvSpPr>
        <xdr:spPr>
          <a:xfrm>
            <a:off x="6774922" y="5560730"/>
            <a:ext cx="34525" cy="71183"/>
          </a:xfrm>
          <a:custGeom>
            <a:avLst/>
            <a:gdLst/>
            <a:ahLst/>
            <a:cxnLst/>
            <a:rect l="0" t="0" r="0" b="0"/>
            <a:pathLst>
              <a:path w="34525" h="71183">
                <a:moveTo>
                  <a:pt x="34524" y="26556"/>
                </a:moveTo>
                <a:lnTo>
                  <a:pt x="31003" y="50933"/>
                </a:lnTo>
                <a:lnTo>
                  <a:pt x="0" y="71182"/>
                </a:lnTo>
                <a:lnTo>
                  <a:pt x="21676"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3" name="ID_244">
            <a:extLst>
              <a:ext uri="{FF2B5EF4-FFF2-40B4-BE49-F238E27FC236}">
                <a16:creationId xmlns:a16="http://schemas.microsoft.com/office/drawing/2014/main" id="{B811CB82-52A1-4B1E-A062-35913672B313}"/>
              </a:ext>
            </a:extLst>
          </xdr:cNvPr>
          <xdr:cNvSpPr/>
        </xdr:nvSpPr>
        <xdr:spPr>
          <a:xfrm>
            <a:off x="7214951" y="5559938"/>
            <a:ext cx="53361" cy="71643"/>
          </a:xfrm>
          <a:custGeom>
            <a:avLst/>
            <a:gdLst/>
            <a:ahLst/>
            <a:cxnLst/>
            <a:rect l="0" t="0" r="0" b="0"/>
            <a:pathLst>
              <a:path w="53361" h="71643">
                <a:moveTo>
                  <a:pt x="52019" y="32544"/>
                </a:moveTo>
                <a:lnTo>
                  <a:pt x="53360" y="56669"/>
                </a:lnTo>
                <a:lnTo>
                  <a:pt x="28829" y="71642"/>
                </a:lnTo>
                <a:lnTo>
                  <a:pt x="20787" y="47383"/>
                </a:lnTo>
                <a:lnTo>
                  <a:pt x="0" y="43489"/>
                </a:lnTo>
                <a:lnTo>
                  <a:pt x="2385"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4" name="ID_245">
            <a:extLst>
              <a:ext uri="{FF2B5EF4-FFF2-40B4-BE49-F238E27FC236}">
                <a16:creationId xmlns:a16="http://schemas.microsoft.com/office/drawing/2014/main" id="{AA326B12-7015-4C32-A876-10D7A0B5D83B}"/>
              </a:ext>
            </a:extLst>
          </xdr:cNvPr>
          <xdr:cNvSpPr/>
        </xdr:nvSpPr>
        <xdr:spPr>
          <a:xfrm>
            <a:off x="7191777" y="5604163"/>
            <a:ext cx="49322" cy="58071"/>
          </a:xfrm>
          <a:custGeom>
            <a:avLst/>
            <a:gdLst/>
            <a:ahLst/>
            <a:cxnLst/>
            <a:rect l="0" t="0" r="0" b="0"/>
            <a:pathLst>
              <a:path w="49322" h="58071">
                <a:moveTo>
                  <a:pt x="36259" y="28287"/>
                </a:moveTo>
                <a:lnTo>
                  <a:pt x="49321" y="56805"/>
                </a:lnTo>
                <a:lnTo>
                  <a:pt x="26416" y="58070"/>
                </a:lnTo>
                <a:lnTo>
                  <a:pt x="0" y="30284"/>
                </a:lnTo>
                <a:lnTo>
                  <a:pt x="9818" y="0"/>
                </a:lnTo>
                <a:lnTo>
                  <a:pt x="40279" y="14453"/>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5" name="ID_246">
            <a:extLst>
              <a:ext uri="{FF2B5EF4-FFF2-40B4-BE49-F238E27FC236}">
                <a16:creationId xmlns:a16="http://schemas.microsoft.com/office/drawing/2014/main" id="{0A9DC7F1-A902-4E97-9716-9BF262ED608A}"/>
              </a:ext>
            </a:extLst>
          </xdr:cNvPr>
          <xdr:cNvSpPr/>
        </xdr:nvSpPr>
        <xdr:spPr>
          <a:xfrm>
            <a:off x="6943194" y="5620618"/>
            <a:ext cx="31395" cy="41690"/>
          </a:xfrm>
          <a:custGeom>
            <a:avLst/>
            <a:gdLst/>
            <a:ahLst/>
            <a:cxnLst/>
            <a:rect l="0" t="0" r="0" b="0"/>
            <a:pathLst>
              <a:path w="31395" h="41690">
                <a:moveTo>
                  <a:pt x="0" y="0"/>
                </a:moveTo>
                <a:lnTo>
                  <a:pt x="13490" y="1807"/>
                </a:lnTo>
                <a:lnTo>
                  <a:pt x="31394" y="41689"/>
                </a:lnTo>
                <a:lnTo>
                  <a:pt x="11192" y="39735"/>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6" name="ID_247">
            <a:extLst>
              <a:ext uri="{FF2B5EF4-FFF2-40B4-BE49-F238E27FC236}">
                <a16:creationId xmlns:a16="http://schemas.microsoft.com/office/drawing/2014/main" id="{C9AF976A-2C93-49CE-9E93-EFD4FD8A6B73}"/>
              </a:ext>
            </a:extLst>
          </xdr:cNvPr>
          <xdr:cNvSpPr/>
        </xdr:nvSpPr>
        <xdr:spPr>
          <a:xfrm>
            <a:off x="6815299" y="5626564"/>
            <a:ext cx="39715" cy="73833"/>
          </a:xfrm>
          <a:custGeom>
            <a:avLst/>
            <a:gdLst/>
            <a:ahLst/>
            <a:cxnLst/>
            <a:rect l="0" t="0" r="0" b="0"/>
            <a:pathLst>
              <a:path w="39715" h="73833">
                <a:moveTo>
                  <a:pt x="14357" y="0"/>
                </a:moveTo>
                <a:lnTo>
                  <a:pt x="39714" y="9267"/>
                </a:lnTo>
                <a:lnTo>
                  <a:pt x="29963" y="42538"/>
                </a:lnTo>
                <a:lnTo>
                  <a:pt x="0" y="73832"/>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7" name="ID_248">
            <a:extLst>
              <a:ext uri="{FF2B5EF4-FFF2-40B4-BE49-F238E27FC236}">
                <a16:creationId xmlns:a16="http://schemas.microsoft.com/office/drawing/2014/main" id="{D0719515-91BD-4F1B-BCF7-B6B7FD5CD6C1}"/>
              </a:ext>
            </a:extLst>
          </xdr:cNvPr>
          <xdr:cNvSpPr/>
        </xdr:nvSpPr>
        <xdr:spPr>
          <a:xfrm>
            <a:off x="6978816" y="5669868"/>
            <a:ext cx="24555" cy="45133"/>
          </a:xfrm>
          <a:custGeom>
            <a:avLst/>
            <a:gdLst/>
            <a:ahLst/>
            <a:cxnLst/>
            <a:rect l="0" t="0" r="0" b="0"/>
            <a:pathLst>
              <a:path w="24555" h="45133">
                <a:moveTo>
                  <a:pt x="24554" y="20649"/>
                </a:moveTo>
                <a:lnTo>
                  <a:pt x="19156" y="45132"/>
                </a:lnTo>
                <a:lnTo>
                  <a:pt x="0" y="26996"/>
                </a:lnTo>
                <a:lnTo>
                  <a:pt x="5266" y="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2</xdr:col>
      <xdr:colOff>94996</xdr:colOff>
      <xdr:row>29</xdr:row>
      <xdr:rowOff>29375</xdr:rowOff>
    </xdr:from>
    <xdr:to>
      <xdr:col>5</xdr:col>
      <xdr:colOff>60144</xdr:colOff>
      <xdr:row>37</xdr:row>
      <xdr:rowOff>164626</xdr:rowOff>
    </xdr:to>
    <xdr:grpSp>
      <xdr:nvGrpSpPr>
        <xdr:cNvPr id="20" name="Freeform 14">
          <a:extLst>
            <a:ext uri="{FF2B5EF4-FFF2-40B4-BE49-F238E27FC236}">
              <a16:creationId xmlns:a16="http://schemas.microsoft.com/office/drawing/2014/main" id="{F01ED58B-80DE-48C9-9622-4E38822A89EE}"/>
            </a:ext>
          </a:extLst>
        </xdr:cNvPr>
        <xdr:cNvGrpSpPr>
          <a:grpSpLocks noChangeAspect="1"/>
        </xdr:cNvGrpSpPr>
      </xdr:nvGrpSpPr>
      <xdr:grpSpPr>
        <a:xfrm>
          <a:off x="1499934" y="5637219"/>
          <a:ext cx="1786804" cy="1659251"/>
          <a:chOff x="5658970" y="4445810"/>
          <a:chExt cx="1278240" cy="1187790"/>
        </a:xfrm>
        <a:solidFill>
          <a:srgbClr val="FF0000"/>
        </a:solidFill>
      </xdr:grpSpPr>
      <xdr:sp macro="" textlink="">
        <xdr:nvSpPr>
          <xdr:cNvPr id="26" name="ID_249">
            <a:extLst>
              <a:ext uri="{FF2B5EF4-FFF2-40B4-BE49-F238E27FC236}">
                <a16:creationId xmlns:a16="http://schemas.microsoft.com/office/drawing/2014/main" id="{AF7DE878-E470-44C4-A370-B54D3E835C7B}"/>
              </a:ext>
            </a:extLst>
          </xdr:cNvPr>
          <xdr:cNvSpPr/>
        </xdr:nvSpPr>
        <xdr:spPr>
          <a:xfrm>
            <a:off x="5658970" y="4445810"/>
            <a:ext cx="1278240" cy="1187790"/>
          </a:xfrm>
          <a:custGeom>
            <a:avLst/>
            <a:gdLst/>
            <a:ahLst/>
            <a:cxnLst/>
            <a:rect l="0" t="0" r="0" b="0"/>
            <a:pathLst>
              <a:path w="1278240" h="1187790">
                <a:moveTo>
                  <a:pt x="449098" y="973115"/>
                </a:moveTo>
                <a:lnTo>
                  <a:pt x="399092" y="975403"/>
                </a:lnTo>
                <a:lnTo>
                  <a:pt x="375024" y="949785"/>
                </a:lnTo>
                <a:lnTo>
                  <a:pt x="373063" y="906532"/>
                </a:lnTo>
                <a:lnTo>
                  <a:pt x="396319" y="862131"/>
                </a:lnTo>
                <a:lnTo>
                  <a:pt x="387942" y="824712"/>
                </a:lnTo>
                <a:lnTo>
                  <a:pt x="331181" y="781417"/>
                </a:lnTo>
                <a:lnTo>
                  <a:pt x="236094" y="775077"/>
                </a:lnTo>
                <a:lnTo>
                  <a:pt x="212563" y="759988"/>
                </a:lnTo>
                <a:lnTo>
                  <a:pt x="199739" y="728297"/>
                </a:lnTo>
                <a:lnTo>
                  <a:pt x="143401" y="735799"/>
                </a:lnTo>
                <a:lnTo>
                  <a:pt x="147968" y="676634"/>
                </a:lnTo>
                <a:lnTo>
                  <a:pt x="147968" y="676634"/>
                </a:lnTo>
                <a:lnTo>
                  <a:pt x="185972" y="674973"/>
                </a:lnTo>
                <a:lnTo>
                  <a:pt x="206400" y="674076"/>
                </a:lnTo>
                <a:lnTo>
                  <a:pt x="222540" y="630019"/>
                </a:lnTo>
                <a:lnTo>
                  <a:pt x="270273" y="633445"/>
                </a:lnTo>
                <a:lnTo>
                  <a:pt x="271189" y="600642"/>
                </a:lnTo>
                <a:lnTo>
                  <a:pt x="222535" y="576089"/>
                </a:lnTo>
                <a:lnTo>
                  <a:pt x="235322" y="510502"/>
                </a:lnTo>
                <a:lnTo>
                  <a:pt x="200709" y="490862"/>
                </a:lnTo>
                <a:lnTo>
                  <a:pt x="176045" y="491946"/>
                </a:lnTo>
                <a:lnTo>
                  <a:pt x="156130" y="449470"/>
                </a:lnTo>
                <a:lnTo>
                  <a:pt x="187070" y="440050"/>
                </a:lnTo>
                <a:lnTo>
                  <a:pt x="195237" y="420537"/>
                </a:lnTo>
                <a:lnTo>
                  <a:pt x="158521" y="352086"/>
                </a:lnTo>
                <a:lnTo>
                  <a:pt x="117668" y="351345"/>
                </a:lnTo>
                <a:lnTo>
                  <a:pt x="79402" y="355520"/>
                </a:lnTo>
                <a:lnTo>
                  <a:pt x="62623" y="329528"/>
                </a:lnTo>
                <a:lnTo>
                  <a:pt x="65500" y="286057"/>
                </a:lnTo>
                <a:lnTo>
                  <a:pt x="41846" y="265398"/>
                </a:lnTo>
                <a:lnTo>
                  <a:pt x="0" y="240468"/>
                </a:lnTo>
                <a:lnTo>
                  <a:pt x="0" y="240468"/>
                </a:lnTo>
                <a:lnTo>
                  <a:pt x="25025" y="193535"/>
                </a:lnTo>
                <a:lnTo>
                  <a:pt x="33089" y="160427"/>
                </a:lnTo>
                <a:lnTo>
                  <a:pt x="33089" y="160427"/>
                </a:lnTo>
                <a:lnTo>
                  <a:pt x="73770" y="169770"/>
                </a:lnTo>
                <a:lnTo>
                  <a:pt x="219733" y="255132"/>
                </a:lnTo>
                <a:lnTo>
                  <a:pt x="280841" y="306346"/>
                </a:lnTo>
                <a:lnTo>
                  <a:pt x="304969" y="294173"/>
                </a:lnTo>
                <a:lnTo>
                  <a:pt x="301289" y="265102"/>
                </a:lnTo>
                <a:lnTo>
                  <a:pt x="328274" y="263885"/>
                </a:lnTo>
                <a:lnTo>
                  <a:pt x="340593" y="284499"/>
                </a:lnTo>
                <a:lnTo>
                  <a:pt x="355738" y="273226"/>
                </a:lnTo>
                <a:lnTo>
                  <a:pt x="350129" y="243739"/>
                </a:lnTo>
                <a:lnTo>
                  <a:pt x="373389" y="212939"/>
                </a:lnTo>
                <a:lnTo>
                  <a:pt x="402243" y="201033"/>
                </a:lnTo>
                <a:lnTo>
                  <a:pt x="395783" y="163521"/>
                </a:lnTo>
                <a:lnTo>
                  <a:pt x="374562" y="134748"/>
                </a:lnTo>
                <a:lnTo>
                  <a:pt x="379711" y="102250"/>
                </a:lnTo>
                <a:lnTo>
                  <a:pt x="431474" y="104914"/>
                </a:lnTo>
                <a:lnTo>
                  <a:pt x="465279" y="57474"/>
                </a:lnTo>
                <a:lnTo>
                  <a:pt x="500702" y="45236"/>
                </a:lnTo>
                <a:lnTo>
                  <a:pt x="523761" y="52222"/>
                </a:lnTo>
                <a:lnTo>
                  <a:pt x="604631" y="0"/>
                </a:lnTo>
                <a:lnTo>
                  <a:pt x="611628" y="7733"/>
                </a:lnTo>
                <a:lnTo>
                  <a:pt x="685190" y="30923"/>
                </a:lnTo>
                <a:lnTo>
                  <a:pt x="731181" y="12559"/>
                </a:lnTo>
                <a:lnTo>
                  <a:pt x="731181" y="12559"/>
                </a:lnTo>
                <a:lnTo>
                  <a:pt x="719127" y="37346"/>
                </a:lnTo>
                <a:lnTo>
                  <a:pt x="740376" y="55471"/>
                </a:lnTo>
                <a:lnTo>
                  <a:pt x="727332" y="69719"/>
                </a:lnTo>
                <a:lnTo>
                  <a:pt x="763375" y="70482"/>
                </a:lnTo>
                <a:lnTo>
                  <a:pt x="786976" y="87980"/>
                </a:lnTo>
                <a:lnTo>
                  <a:pt x="806906" y="78931"/>
                </a:lnTo>
                <a:lnTo>
                  <a:pt x="819517" y="113603"/>
                </a:lnTo>
                <a:lnTo>
                  <a:pt x="860579" y="119635"/>
                </a:lnTo>
                <a:lnTo>
                  <a:pt x="857398" y="141474"/>
                </a:lnTo>
                <a:lnTo>
                  <a:pt x="890573" y="131753"/>
                </a:lnTo>
                <a:lnTo>
                  <a:pt x="909627" y="152480"/>
                </a:lnTo>
                <a:lnTo>
                  <a:pt x="906107" y="176859"/>
                </a:lnTo>
                <a:lnTo>
                  <a:pt x="923934" y="210755"/>
                </a:lnTo>
                <a:lnTo>
                  <a:pt x="965823" y="279234"/>
                </a:lnTo>
                <a:lnTo>
                  <a:pt x="1000513" y="298652"/>
                </a:lnTo>
                <a:lnTo>
                  <a:pt x="1000513" y="298652"/>
                </a:lnTo>
                <a:lnTo>
                  <a:pt x="990654" y="328902"/>
                </a:lnTo>
                <a:lnTo>
                  <a:pt x="1028733" y="367805"/>
                </a:lnTo>
                <a:lnTo>
                  <a:pt x="1022766" y="381219"/>
                </a:lnTo>
                <a:lnTo>
                  <a:pt x="1037613" y="402143"/>
                </a:lnTo>
                <a:lnTo>
                  <a:pt x="1020577" y="422172"/>
                </a:lnTo>
                <a:lnTo>
                  <a:pt x="1049245" y="452977"/>
                </a:lnTo>
                <a:lnTo>
                  <a:pt x="1074185" y="457244"/>
                </a:lnTo>
                <a:lnTo>
                  <a:pt x="1086904" y="575078"/>
                </a:lnTo>
                <a:lnTo>
                  <a:pt x="1124513" y="602885"/>
                </a:lnTo>
                <a:lnTo>
                  <a:pt x="1124513" y="602885"/>
                </a:lnTo>
                <a:lnTo>
                  <a:pt x="1126334" y="638084"/>
                </a:lnTo>
                <a:lnTo>
                  <a:pt x="1167437" y="640992"/>
                </a:lnTo>
                <a:lnTo>
                  <a:pt x="1182050" y="656363"/>
                </a:lnTo>
                <a:lnTo>
                  <a:pt x="1229072" y="653899"/>
                </a:lnTo>
                <a:lnTo>
                  <a:pt x="1278239" y="718867"/>
                </a:lnTo>
                <a:lnTo>
                  <a:pt x="1257154" y="752755"/>
                </a:lnTo>
                <a:lnTo>
                  <a:pt x="1211725" y="795480"/>
                </a:lnTo>
                <a:lnTo>
                  <a:pt x="1170830" y="797616"/>
                </a:lnTo>
                <a:lnTo>
                  <a:pt x="1155556" y="760597"/>
                </a:lnTo>
                <a:lnTo>
                  <a:pt x="1144564" y="769234"/>
                </a:lnTo>
                <a:lnTo>
                  <a:pt x="1176974" y="824016"/>
                </a:lnTo>
                <a:lnTo>
                  <a:pt x="1154484" y="868543"/>
                </a:lnTo>
                <a:lnTo>
                  <a:pt x="1131129" y="942852"/>
                </a:lnTo>
                <a:lnTo>
                  <a:pt x="1107809" y="981360"/>
                </a:lnTo>
                <a:lnTo>
                  <a:pt x="1073001" y="1010367"/>
                </a:lnTo>
                <a:lnTo>
                  <a:pt x="1050073" y="1000951"/>
                </a:lnTo>
                <a:lnTo>
                  <a:pt x="1058230" y="1029772"/>
                </a:lnTo>
                <a:lnTo>
                  <a:pt x="1038995" y="1055452"/>
                </a:lnTo>
                <a:lnTo>
                  <a:pt x="986819" y="1100939"/>
                </a:lnTo>
                <a:lnTo>
                  <a:pt x="963935" y="1102090"/>
                </a:lnTo>
                <a:lnTo>
                  <a:pt x="953299" y="1118753"/>
                </a:lnTo>
                <a:lnTo>
                  <a:pt x="889320" y="1149159"/>
                </a:lnTo>
                <a:lnTo>
                  <a:pt x="870720" y="1150079"/>
                </a:lnTo>
                <a:lnTo>
                  <a:pt x="759242" y="1187789"/>
                </a:lnTo>
                <a:lnTo>
                  <a:pt x="759242" y="1187789"/>
                </a:lnTo>
                <a:lnTo>
                  <a:pt x="739436" y="1153972"/>
                </a:lnTo>
                <a:lnTo>
                  <a:pt x="743512" y="1099848"/>
                </a:lnTo>
                <a:lnTo>
                  <a:pt x="721316" y="1065638"/>
                </a:lnTo>
                <a:lnTo>
                  <a:pt x="722923" y="1049432"/>
                </a:lnTo>
                <a:lnTo>
                  <a:pt x="668453" y="1049022"/>
                </a:lnTo>
                <a:lnTo>
                  <a:pt x="594167" y="1023314"/>
                </a:lnTo>
                <a:lnTo>
                  <a:pt x="564604" y="973296"/>
                </a:lnTo>
                <a:lnTo>
                  <a:pt x="554048" y="941534"/>
                </a:lnTo>
                <a:lnTo>
                  <a:pt x="564459" y="919374"/>
                </a:lnTo>
                <a:lnTo>
                  <a:pt x="551386" y="884705"/>
                </a:lnTo>
                <a:lnTo>
                  <a:pt x="494638" y="884829"/>
                </a:lnTo>
                <a:lnTo>
                  <a:pt x="495641" y="906456"/>
                </a:lnTo>
                <a:lnTo>
                  <a:pt x="442488" y="933100"/>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1368000" tIns="1008000" rtlCol="0" anchor="t"/>
          <a:lstStyle/>
          <a:p>
            <a:pPr algn="l"/>
            <a:r>
              <a:rPr lang="en-IN" sz="900">
                <a:latin typeface="Calibri" panose="020F0502020204030204" pitchFamily="34" charset="0"/>
                <a:cs typeface="Calibri" panose="020F0502020204030204" pitchFamily="34" charset="0"/>
              </a:rPr>
              <a:t>MIDNAPORE </a:t>
            </a:r>
          </a:p>
          <a:p>
            <a:pPr algn="l"/>
            <a:r>
              <a:rPr lang="en-IN" sz="900">
                <a:latin typeface="Calibri" panose="020F0502020204030204" pitchFamily="34" charset="0"/>
                <a:cs typeface="Calibri" panose="020F0502020204030204" pitchFamily="34" charset="0"/>
              </a:rPr>
              <a:t>EAST WEST</a:t>
            </a:r>
          </a:p>
        </xdr:txBody>
      </xdr:sp>
      <xdr:sp macro="" textlink="">
        <xdr:nvSpPr>
          <xdr:cNvPr id="27" name="ID_250">
            <a:extLst>
              <a:ext uri="{FF2B5EF4-FFF2-40B4-BE49-F238E27FC236}">
                <a16:creationId xmlns:a16="http://schemas.microsoft.com/office/drawing/2014/main" id="{34F9A004-CDCC-4AC2-968A-9C083C999F68}"/>
              </a:ext>
            </a:extLst>
          </xdr:cNvPr>
          <xdr:cNvSpPr/>
        </xdr:nvSpPr>
        <xdr:spPr>
          <a:xfrm>
            <a:off x="6868812" y="5253191"/>
            <a:ext cx="34460" cy="34078"/>
          </a:xfrm>
          <a:custGeom>
            <a:avLst/>
            <a:gdLst/>
            <a:ahLst/>
            <a:cxnLst/>
            <a:rect l="0" t="0" r="0" b="0"/>
            <a:pathLst>
              <a:path w="34460" h="34078">
                <a:moveTo>
                  <a:pt x="34459" y="0"/>
                </a:moveTo>
                <a:lnTo>
                  <a:pt x="0" y="34077"/>
                </a:lnTo>
                <a:lnTo>
                  <a:pt x="0" y="34077"/>
                </a:lnTo>
                <a:lnTo>
                  <a:pt x="7482" y="3939"/>
                </a:lnTo>
                <a:close/>
              </a:path>
            </a:pathLst>
          </a:custGeom>
          <a:solidFill>
            <a:srgbClr val="00863D"/>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4</xdr:col>
      <xdr:colOff>266133</xdr:colOff>
      <xdr:row>30</xdr:row>
      <xdr:rowOff>19789</xdr:rowOff>
    </xdr:from>
    <xdr:to>
      <xdr:col>5</xdr:col>
      <xdr:colOff>219392</xdr:colOff>
      <xdr:row>33</xdr:row>
      <xdr:rowOff>154938</xdr:rowOff>
    </xdr:to>
    <xdr:sp macro="" textlink="">
      <xdr:nvSpPr>
        <xdr:cNvPr id="21" name="Freeform 15">
          <a:extLst>
            <a:ext uri="{FF2B5EF4-FFF2-40B4-BE49-F238E27FC236}">
              <a16:creationId xmlns:a16="http://schemas.microsoft.com/office/drawing/2014/main" id="{4A6D0836-5FCC-4128-AEFB-66F697719686}"/>
            </a:ext>
          </a:extLst>
        </xdr:cNvPr>
        <xdr:cNvSpPr>
          <a:spLocks noChangeAspect="1"/>
        </xdr:cNvSpPr>
      </xdr:nvSpPr>
      <xdr:spPr>
        <a:xfrm>
          <a:off x="2895033" y="5806755"/>
          <a:ext cx="562859" cy="706649"/>
        </a:xfrm>
        <a:custGeom>
          <a:avLst/>
          <a:gdLst/>
          <a:ahLst/>
          <a:cxnLst/>
          <a:rect l="0" t="0" r="0" b="0"/>
          <a:pathLst>
            <a:path w="401053" h="505861">
              <a:moveTo>
                <a:pt x="9859" y="169143"/>
              </a:moveTo>
              <a:lnTo>
                <a:pt x="45026" y="151215"/>
              </a:lnTo>
              <a:lnTo>
                <a:pt x="44331" y="137636"/>
              </a:lnTo>
              <a:lnTo>
                <a:pt x="73683" y="136131"/>
              </a:lnTo>
              <a:lnTo>
                <a:pt x="59560" y="82902"/>
              </a:lnTo>
              <a:lnTo>
                <a:pt x="70090" y="66226"/>
              </a:lnTo>
              <a:lnTo>
                <a:pt x="73945" y="12073"/>
              </a:lnTo>
              <a:lnTo>
                <a:pt x="102720" y="0"/>
              </a:lnTo>
              <a:lnTo>
                <a:pt x="118231" y="33991"/>
              </a:lnTo>
              <a:lnTo>
                <a:pt x="104800" y="40233"/>
              </a:lnTo>
              <a:lnTo>
                <a:pt x="125018" y="82552"/>
              </a:lnTo>
              <a:lnTo>
                <a:pt x="154775" y="89073"/>
              </a:lnTo>
              <a:lnTo>
                <a:pt x="194892" y="75882"/>
              </a:lnTo>
              <a:lnTo>
                <a:pt x="253385" y="78347"/>
              </a:lnTo>
              <a:lnTo>
                <a:pt x="256337" y="89285"/>
              </a:lnTo>
              <a:lnTo>
                <a:pt x="303499" y="83753"/>
              </a:lnTo>
              <a:lnTo>
                <a:pt x="326804" y="93601"/>
              </a:lnTo>
              <a:lnTo>
                <a:pt x="362338" y="83625"/>
              </a:lnTo>
              <a:lnTo>
                <a:pt x="387815" y="98388"/>
              </a:lnTo>
              <a:lnTo>
                <a:pt x="387815" y="98388"/>
              </a:lnTo>
              <a:lnTo>
                <a:pt x="395311" y="114120"/>
              </a:lnTo>
              <a:lnTo>
                <a:pt x="395311" y="114120"/>
              </a:lnTo>
              <a:lnTo>
                <a:pt x="401052" y="132469"/>
              </a:lnTo>
              <a:lnTo>
                <a:pt x="374466" y="185344"/>
              </a:lnTo>
              <a:lnTo>
                <a:pt x="331840" y="187634"/>
              </a:lnTo>
              <a:lnTo>
                <a:pt x="331840" y="187634"/>
              </a:lnTo>
              <a:lnTo>
                <a:pt x="302476" y="189203"/>
              </a:lnTo>
              <a:lnTo>
                <a:pt x="310394" y="212986"/>
              </a:lnTo>
              <a:lnTo>
                <a:pt x="275538" y="236524"/>
              </a:lnTo>
              <a:lnTo>
                <a:pt x="253938" y="259352"/>
              </a:lnTo>
              <a:lnTo>
                <a:pt x="218475" y="271810"/>
              </a:lnTo>
              <a:lnTo>
                <a:pt x="236951" y="324793"/>
              </a:lnTo>
              <a:lnTo>
                <a:pt x="204840" y="356230"/>
              </a:lnTo>
              <a:lnTo>
                <a:pt x="207659" y="410035"/>
              </a:lnTo>
              <a:lnTo>
                <a:pt x="198822" y="459407"/>
              </a:lnTo>
              <a:lnTo>
                <a:pt x="198822" y="459407"/>
              </a:lnTo>
              <a:lnTo>
                <a:pt x="187919" y="505860"/>
              </a:lnTo>
              <a:lnTo>
                <a:pt x="151253" y="496676"/>
              </a:lnTo>
              <a:lnTo>
                <a:pt x="133859" y="473376"/>
              </a:lnTo>
              <a:lnTo>
                <a:pt x="133859" y="473376"/>
              </a:lnTo>
              <a:lnTo>
                <a:pt x="96250" y="445569"/>
              </a:lnTo>
              <a:lnTo>
                <a:pt x="83531" y="327735"/>
              </a:lnTo>
              <a:lnTo>
                <a:pt x="58591" y="323468"/>
              </a:lnTo>
              <a:lnTo>
                <a:pt x="29923" y="292663"/>
              </a:lnTo>
              <a:lnTo>
                <a:pt x="46959" y="272634"/>
              </a:lnTo>
              <a:lnTo>
                <a:pt x="32112" y="251710"/>
              </a:lnTo>
              <a:lnTo>
                <a:pt x="38079" y="238296"/>
              </a:lnTo>
              <a:lnTo>
                <a:pt x="0" y="199393"/>
              </a:lnTo>
              <a:close/>
            </a:path>
          </a:pathLst>
        </a:custGeom>
        <a:solidFill>
          <a:srgbClr val="FF66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720000" tIns="468000" rtlCol="0" anchor="ctr"/>
        <a:lstStyle/>
        <a:p>
          <a:pPr algn="ctr"/>
          <a:r>
            <a:rPr lang="en-IN" sz="900">
              <a:latin typeface="Calibri" panose="020F0502020204030204" pitchFamily="34" charset="0"/>
              <a:cs typeface="Calibri" panose="020F0502020204030204" pitchFamily="34" charset="0"/>
            </a:rPr>
            <a:t>HOWRAH</a:t>
          </a:r>
        </a:p>
      </xdr:txBody>
    </xdr:sp>
    <xdr:clientData/>
  </xdr:twoCellAnchor>
  <xdr:twoCellAnchor editAs="absolute">
    <xdr:from>
      <xdr:col>5</xdr:col>
      <xdr:colOff>305952</xdr:colOff>
      <xdr:row>5</xdr:row>
      <xdr:rowOff>128672</xdr:rowOff>
    </xdr:from>
    <xdr:to>
      <xdr:col>7</xdr:col>
      <xdr:colOff>308764</xdr:colOff>
      <xdr:row>9</xdr:row>
      <xdr:rowOff>44075</xdr:rowOff>
    </xdr:to>
    <xdr:grpSp>
      <xdr:nvGrpSpPr>
        <xdr:cNvPr id="22" name="Freeform 3">
          <a:extLst>
            <a:ext uri="{FF2B5EF4-FFF2-40B4-BE49-F238E27FC236}">
              <a16:creationId xmlns:a16="http://schemas.microsoft.com/office/drawing/2014/main" id="{05C7D0BA-0AE3-41BE-A56B-B5ADA05CEE9E}"/>
            </a:ext>
          </a:extLst>
        </xdr:cNvPr>
        <xdr:cNvGrpSpPr>
          <a:grpSpLocks noChangeAspect="1"/>
        </xdr:cNvGrpSpPr>
      </xdr:nvGrpSpPr>
      <xdr:grpSpPr>
        <a:xfrm>
          <a:off x="3532546" y="1081172"/>
          <a:ext cx="1217249" cy="677403"/>
          <a:chOff x="7112357" y="1192470"/>
          <a:chExt cx="870719" cy="484925"/>
        </a:xfrm>
        <a:solidFill>
          <a:srgbClr val="FF0000"/>
        </a:solidFill>
      </xdr:grpSpPr>
      <xdr:sp macro="" textlink="">
        <xdr:nvSpPr>
          <xdr:cNvPr id="23" name="ID_252">
            <a:extLst>
              <a:ext uri="{FF2B5EF4-FFF2-40B4-BE49-F238E27FC236}">
                <a16:creationId xmlns:a16="http://schemas.microsoft.com/office/drawing/2014/main" id="{4DFEB1C4-12D7-49EF-943F-D93432F56A6C}"/>
              </a:ext>
            </a:extLst>
          </xdr:cNvPr>
          <xdr:cNvSpPr/>
        </xdr:nvSpPr>
        <xdr:spPr>
          <a:xfrm>
            <a:off x="7157372" y="1192470"/>
            <a:ext cx="825704" cy="484925"/>
          </a:xfrm>
          <a:custGeom>
            <a:avLst/>
            <a:gdLst/>
            <a:ahLst/>
            <a:cxnLst/>
            <a:rect l="0" t="0" r="0" b="0"/>
            <a:pathLst>
              <a:path w="825704" h="484925">
                <a:moveTo>
                  <a:pt x="759364" y="165563"/>
                </a:moveTo>
                <a:lnTo>
                  <a:pt x="756476" y="192956"/>
                </a:lnTo>
                <a:lnTo>
                  <a:pt x="739148" y="196569"/>
                </a:lnTo>
                <a:lnTo>
                  <a:pt x="727621" y="218963"/>
                </a:lnTo>
                <a:lnTo>
                  <a:pt x="736436" y="256202"/>
                </a:lnTo>
                <a:lnTo>
                  <a:pt x="737009" y="302024"/>
                </a:lnTo>
                <a:lnTo>
                  <a:pt x="737009" y="302024"/>
                </a:lnTo>
                <a:lnTo>
                  <a:pt x="726618" y="313261"/>
                </a:lnTo>
                <a:lnTo>
                  <a:pt x="701947" y="266431"/>
                </a:lnTo>
                <a:lnTo>
                  <a:pt x="700783" y="247859"/>
                </a:lnTo>
                <a:lnTo>
                  <a:pt x="672552" y="254664"/>
                </a:lnTo>
                <a:lnTo>
                  <a:pt x="686646" y="302664"/>
                </a:lnTo>
                <a:lnTo>
                  <a:pt x="657401" y="293402"/>
                </a:lnTo>
                <a:lnTo>
                  <a:pt x="641085" y="313566"/>
                </a:lnTo>
                <a:lnTo>
                  <a:pt x="657826" y="374511"/>
                </a:lnTo>
                <a:lnTo>
                  <a:pt x="672494" y="357470"/>
                </a:lnTo>
                <a:lnTo>
                  <a:pt x="687561" y="391303"/>
                </a:lnTo>
                <a:lnTo>
                  <a:pt x="642805" y="415762"/>
                </a:lnTo>
                <a:lnTo>
                  <a:pt x="637347" y="432228"/>
                </a:lnTo>
                <a:lnTo>
                  <a:pt x="646327" y="472494"/>
                </a:lnTo>
                <a:lnTo>
                  <a:pt x="616534" y="484924"/>
                </a:lnTo>
                <a:lnTo>
                  <a:pt x="614858" y="457812"/>
                </a:lnTo>
                <a:lnTo>
                  <a:pt x="579496" y="454953"/>
                </a:lnTo>
                <a:lnTo>
                  <a:pt x="562463" y="464063"/>
                </a:lnTo>
                <a:lnTo>
                  <a:pt x="526427" y="450142"/>
                </a:lnTo>
                <a:lnTo>
                  <a:pt x="524956" y="426042"/>
                </a:lnTo>
                <a:lnTo>
                  <a:pt x="509279" y="426998"/>
                </a:lnTo>
                <a:lnTo>
                  <a:pt x="499831" y="454282"/>
                </a:lnTo>
                <a:lnTo>
                  <a:pt x="471697" y="455990"/>
                </a:lnTo>
                <a:lnTo>
                  <a:pt x="445798" y="433368"/>
                </a:lnTo>
                <a:lnTo>
                  <a:pt x="409938" y="421921"/>
                </a:lnTo>
                <a:lnTo>
                  <a:pt x="395914" y="404118"/>
                </a:lnTo>
                <a:lnTo>
                  <a:pt x="401374" y="387162"/>
                </a:lnTo>
                <a:lnTo>
                  <a:pt x="366908" y="360001"/>
                </a:lnTo>
                <a:lnTo>
                  <a:pt x="317865" y="351835"/>
                </a:lnTo>
                <a:lnTo>
                  <a:pt x="300282" y="312569"/>
                </a:lnTo>
                <a:lnTo>
                  <a:pt x="307755" y="290463"/>
                </a:lnTo>
                <a:lnTo>
                  <a:pt x="297430" y="264372"/>
                </a:lnTo>
                <a:lnTo>
                  <a:pt x="266189" y="220372"/>
                </a:lnTo>
                <a:lnTo>
                  <a:pt x="290970" y="194225"/>
                </a:lnTo>
                <a:lnTo>
                  <a:pt x="264267" y="187741"/>
                </a:lnTo>
                <a:lnTo>
                  <a:pt x="258654" y="131654"/>
                </a:lnTo>
                <a:lnTo>
                  <a:pt x="207583" y="118532"/>
                </a:lnTo>
                <a:lnTo>
                  <a:pt x="170333" y="120704"/>
                </a:lnTo>
                <a:lnTo>
                  <a:pt x="170275" y="87969"/>
                </a:lnTo>
                <a:lnTo>
                  <a:pt x="156644" y="75665"/>
                </a:lnTo>
                <a:lnTo>
                  <a:pt x="147008" y="100400"/>
                </a:lnTo>
                <a:lnTo>
                  <a:pt x="131834" y="101279"/>
                </a:lnTo>
                <a:lnTo>
                  <a:pt x="121745" y="158274"/>
                </a:lnTo>
                <a:lnTo>
                  <a:pt x="151372" y="175701"/>
                </a:lnTo>
                <a:lnTo>
                  <a:pt x="179897" y="174044"/>
                </a:lnTo>
                <a:lnTo>
                  <a:pt x="182235" y="214207"/>
                </a:lnTo>
                <a:lnTo>
                  <a:pt x="211563" y="226097"/>
                </a:lnTo>
                <a:lnTo>
                  <a:pt x="237652" y="222051"/>
                </a:lnTo>
                <a:lnTo>
                  <a:pt x="239538" y="254181"/>
                </a:lnTo>
                <a:lnTo>
                  <a:pt x="163114" y="266701"/>
                </a:lnTo>
                <a:lnTo>
                  <a:pt x="132851" y="230671"/>
                </a:lnTo>
                <a:lnTo>
                  <a:pt x="97406" y="232713"/>
                </a:lnTo>
                <a:lnTo>
                  <a:pt x="92662" y="262706"/>
                </a:lnTo>
                <a:lnTo>
                  <a:pt x="106939" y="278006"/>
                </a:lnTo>
                <a:lnTo>
                  <a:pt x="78532" y="282155"/>
                </a:lnTo>
                <a:lnTo>
                  <a:pt x="57353" y="259187"/>
                </a:lnTo>
                <a:lnTo>
                  <a:pt x="55518" y="227053"/>
                </a:lnTo>
                <a:lnTo>
                  <a:pt x="8719" y="216116"/>
                </a:lnTo>
                <a:lnTo>
                  <a:pt x="8719" y="216116"/>
                </a:lnTo>
                <a:lnTo>
                  <a:pt x="0" y="176316"/>
                </a:lnTo>
                <a:lnTo>
                  <a:pt x="17787" y="140050"/>
                </a:lnTo>
                <a:lnTo>
                  <a:pt x="36495" y="160644"/>
                </a:lnTo>
                <a:lnTo>
                  <a:pt x="75138" y="150377"/>
                </a:lnTo>
                <a:lnTo>
                  <a:pt x="97813" y="119358"/>
                </a:lnTo>
                <a:lnTo>
                  <a:pt x="100710" y="97534"/>
                </a:lnTo>
                <a:lnTo>
                  <a:pt x="117573" y="85985"/>
                </a:lnTo>
                <a:lnTo>
                  <a:pt x="109892" y="64772"/>
                </a:lnTo>
                <a:lnTo>
                  <a:pt x="130442" y="77184"/>
                </a:lnTo>
                <a:lnTo>
                  <a:pt x="158705" y="0"/>
                </a:lnTo>
                <a:lnTo>
                  <a:pt x="197323" y="21924"/>
                </a:lnTo>
                <a:lnTo>
                  <a:pt x="233450" y="1172"/>
                </a:lnTo>
                <a:lnTo>
                  <a:pt x="247258" y="16477"/>
                </a:lnTo>
                <a:lnTo>
                  <a:pt x="291366" y="13872"/>
                </a:lnTo>
                <a:lnTo>
                  <a:pt x="318659" y="30887"/>
                </a:lnTo>
                <a:lnTo>
                  <a:pt x="326912" y="22337"/>
                </a:lnTo>
                <a:lnTo>
                  <a:pt x="387021" y="40401"/>
                </a:lnTo>
                <a:lnTo>
                  <a:pt x="439258" y="34733"/>
                </a:lnTo>
                <a:lnTo>
                  <a:pt x="445634" y="25784"/>
                </a:lnTo>
                <a:lnTo>
                  <a:pt x="475648" y="56704"/>
                </a:lnTo>
                <a:lnTo>
                  <a:pt x="508249" y="46656"/>
                </a:lnTo>
                <a:lnTo>
                  <a:pt x="519950" y="26798"/>
                </a:lnTo>
                <a:lnTo>
                  <a:pt x="549426" y="41110"/>
                </a:lnTo>
                <a:lnTo>
                  <a:pt x="577763" y="36845"/>
                </a:lnTo>
                <a:lnTo>
                  <a:pt x="596094" y="87098"/>
                </a:lnTo>
                <a:lnTo>
                  <a:pt x="619775" y="74547"/>
                </a:lnTo>
                <a:lnTo>
                  <a:pt x="645523" y="102671"/>
                </a:lnTo>
                <a:lnTo>
                  <a:pt x="648964" y="83816"/>
                </a:lnTo>
                <a:lnTo>
                  <a:pt x="676003" y="66006"/>
                </a:lnTo>
                <a:lnTo>
                  <a:pt x="703022" y="77411"/>
                </a:lnTo>
                <a:lnTo>
                  <a:pt x="746804" y="39890"/>
                </a:lnTo>
                <a:lnTo>
                  <a:pt x="803948" y="38784"/>
                </a:lnTo>
                <a:lnTo>
                  <a:pt x="806504" y="78929"/>
                </a:lnTo>
                <a:lnTo>
                  <a:pt x="806504" y="78929"/>
                </a:lnTo>
                <a:lnTo>
                  <a:pt x="825703" y="104914"/>
                </a:lnTo>
                <a:lnTo>
                  <a:pt x="805931" y="106174"/>
                </a:lnTo>
                <a:lnTo>
                  <a:pt x="770370" y="135138"/>
                </a:lnTo>
                <a:close/>
              </a:path>
            </a:pathLst>
          </a:custGeom>
          <a:solidFill>
            <a:srgbClr val="FF66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440000" tIns="432000" rIns="0" bIns="72000" rtlCol="0" anchor="ctr"/>
          <a:lstStyle/>
          <a:p>
            <a:pPr algn="ctr"/>
            <a:r>
              <a:rPr lang="en-IN" sz="900" b="0">
                <a:latin typeface="Calibri" panose="020F0502020204030204" pitchFamily="34" charset="0"/>
                <a:cs typeface="Calibri" panose="020F0502020204030204" pitchFamily="34" charset="0"/>
              </a:rPr>
              <a:t>COCH BEHAR</a:t>
            </a:r>
          </a:p>
        </xdr:txBody>
      </xdr:sp>
      <xdr:sp macro="" textlink="">
        <xdr:nvSpPr>
          <xdr:cNvPr id="24" name="ID_253">
            <a:extLst>
              <a:ext uri="{FF2B5EF4-FFF2-40B4-BE49-F238E27FC236}">
                <a16:creationId xmlns:a16="http://schemas.microsoft.com/office/drawing/2014/main" id="{E3CA3DA6-1B27-4860-B392-0850A6E00D51}"/>
              </a:ext>
            </a:extLst>
          </xdr:cNvPr>
          <xdr:cNvSpPr/>
        </xdr:nvSpPr>
        <xdr:spPr>
          <a:xfrm>
            <a:off x="7112357" y="1462997"/>
            <a:ext cx="38345" cy="63290"/>
          </a:xfrm>
          <a:custGeom>
            <a:avLst/>
            <a:gdLst/>
            <a:ahLst/>
            <a:cxnLst/>
            <a:rect l="0" t="0" r="0" b="0"/>
            <a:pathLst>
              <a:path w="38345" h="63290">
                <a:moveTo>
                  <a:pt x="25757" y="30788"/>
                </a:moveTo>
                <a:lnTo>
                  <a:pt x="38344" y="57279"/>
                </a:lnTo>
                <a:lnTo>
                  <a:pt x="21120" y="63289"/>
                </a:lnTo>
                <a:lnTo>
                  <a:pt x="0" y="0"/>
                </a:lnTo>
                <a:close/>
              </a:path>
            </a:pathLst>
          </a:custGeom>
          <a:solidFill>
            <a:srgbClr val="FF66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 name="ID_254">
            <a:extLst>
              <a:ext uri="{FF2B5EF4-FFF2-40B4-BE49-F238E27FC236}">
                <a16:creationId xmlns:a16="http://schemas.microsoft.com/office/drawing/2014/main" id="{0076979B-C35E-43B8-A550-40A70579CD13}"/>
              </a:ext>
            </a:extLst>
          </xdr:cNvPr>
          <xdr:cNvSpPr/>
        </xdr:nvSpPr>
        <xdr:spPr>
          <a:xfrm>
            <a:off x="7176352" y="1475502"/>
            <a:ext cx="26697" cy="93141"/>
          </a:xfrm>
          <a:custGeom>
            <a:avLst/>
            <a:gdLst/>
            <a:ahLst/>
            <a:cxnLst/>
            <a:rect l="0" t="0" r="0" b="0"/>
            <a:pathLst>
              <a:path w="26697" h="93141">
                <a:moveTo>
                  <a:pt x="8427" y="67024"/>
                </a:moveTo>
                <a:lnTo>
                  <a:pt x="13022" y="34018"/>
                </a:lnTo>
                <a:lnTo>
                  <a:pt x="0" y="0"/>
                </a:lnTo>
                <a:lnTo>
                  <a:pt x="25008" y="9156"/>
                </a:lnTo>
                <a:lnTo>
                  <a:pt x="26696" y="38781"/>
                </a:lnTo>
                <a:lnTo>
                  <a:pt x="16411" y="52968"/>
                </a:lnTo>
                <a:lnTo>
                  <a:pt x="18696" y="93140"/>
                </a:lnTo>
                <a:lnTo>
                  <a:pt x="7492" y="91258"/>
                </a:lnTo>
                <a:close/>
              </a:path>
            </a:pathLst>
          </a:custGeom>
          <a:solidFill>
            <a:srgbClr val="FF6600"/>
          </a:solidFill>
          <a:ln w="127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4</xdr:col>
      <xdr:colOff>172155</xdr:colOff>
      <xdr:row>2</xdr:row>
      <xdr:rowOff>119883</xdr:rowOff>
    </xdr:from>
    <xdr:to>
      <xdr:col>5</xdr:col>
      <xdr:colOff>395984</xdr:colOff>
      <xdr:row>3</xdr:row>
      <xdr:rowOff>162588</xdr:rowOff>
    </xdr:to>
    <xdr:sp macro="" textlink="$AC$9">
      <xdr:nvSpPr>
        <xdr:cNvPr id="150" name="TextBox 9">
          <a:extLst>
            <a:ext uri="{FF2B5EF4-FFF2-40B4-BE49-F238E27FC236}">
              <a16:creationId xmlns:a16="http://schemas.microsoft.com/office/drawing/2014/main" id="{B9B94928-2F6A-44C8-A0AA-828026755D4E}"/>
            </a:ext>
          </a:extLst>
        </xdr:cNvPr>
        <xdr:cNvSpPr txBox="1">
          <a:spLocks noChangeAspect="1"/>
        </xdr:cNvSpPr>
      </xdr:nvSpPr>
      <xdr:spPr>
        <a:xfrm>
          <a:off x="2801055" y="500883"/>
          <a:ext cx="833429"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8E78CF89-B04A-4193-B23D-E53E8DF25A0A}" type="TxLink">
            <a:rPr lang="en-US" sz="900" b="0" i="0" u="none" strike="noStrike">
              <a:solidFill>
                <a:schemeClr val="bg1"/>
              </a:solidFill>
              <a:latin typeface="Calibri"/>
              <a:cs typeface="Calibri"/>
            </a:rPr>
            <a:pPr algn="ctr"/>
            <a:t> 86,48,275 </a:t>
          </a:fld>
          <a:endParaRPr lang="en-IN" sz="200" b="0">
            <a:solidFill>
              <a:schemeClr val="bg1"/>
            </a:solidFill>
          </a:endParaRPr>
        </a:p>
      </xdr:txBody>
    </xdr:sp>
    <xdr:clientData/>
  </xdr:twoCellAnchor>
  <xdr:twoCellAnchor editAs="absolute">
    <xdr:from>
      <xdr:col>5</xdr:col>
      <xdr:colOff>317832</xdr:colOff>
      <xdr:row>3</xdr:row>
      <xdr:rowOff>175912</xdr:rowOff>
    </xdr:from>
    <xdr:to>
      <xdr:col>6</xdr:col>
      <xdr:colOff>550375</xdr:colOff>
      <xdr:row>5</xdr:row>
      <xdr:rowOff>28117</xdr:rowOff>
    </xdr:to>
    <xdr:sp macro="" textlink="$AC$12">
      <xdr:nvSpPr>
        <xdr:cNvPr id="77" name="TextBox 10">
          <a:extLst>
            <a:ext uri="{FF2B5EF4-FFF2-40B4-BE49-F238E27FC236}">
              <a16:creationId xmlns:a16="http://schemas.microsoft.com/office/drawing/2014/main" id="{2F8DA877-3609-4708-B6C9-29F13DF83232}"/>
            </a:ext>
          </a:extLst>
        </xdr:cNvPr>
        <xdr:cNvSpPr txBox="1">
          <a:spLocks noChangeAspect="1"/>
        </xdr:cNvSpPr>
      </xdr:nvSpPr>
      <xdr:spPr>
        <a:xfrm>
          <a:off x="3556332" y="747412"/>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F738EE9B-16FA-44EC-87AF-EB5DC0945649}" type="TxLink">
            <a:rPr lang="en-US" sz="900" b="0" i="0" u="none" strike="noStrike">
              <a:solidFill>
                <a:schemeClr val="bg1"/>
              </a:solidFill>
              <a:latin typeface="Calibri"/>
              <a:cs typeface="Calibri"/>
            </a:rPr>
            <a:pPr algn="ctr"/>
            <a:t> 163,90,538 </a:t>
          </a:fld>
          <a:endParaRPr lang="en-IN" sz="100" b="0">
            <a:solidFill>
              <a:schemeClr val="bg1"/>
            </a:solidFill>
          </a:endParaRPr>
        </a:p>
      </xdr:txBody>
    </xdr:sp>
    <xdr:clientData/>
  </xdr:twoCellAnchor>
  <xdr:twoCellAnchor editAs="absolute">
    <xdr:from>
      <xdr:col>6</xdr:col>
      <xdr:colOff>65419</xdr:colOff>
      <xdr:row>6</xdr:row>
      <xdr:rowOff>118763</xdr:rowOff>
    </xdr:from>
    <xdr:to>
      <xdr:col>7</xdr:col>
      <xdr:colOff>293729</xdr:colOff>
      <xdr:row>7</xdr:row>
      <xdr:rowOff>161468</xdr:rowOff>
    </xdr:to>
    <xdr:sp macro="" textlink="$AC$7">
      <xdr:nvSpPr>
        <xdr:cNvPr id="78" name="TextBox 11">
          <a:extLst>
            <a:ext uri="{FF2B5EF4-FFF2-40B4-BE49-F238E27FC236}">
              <a16:creationId xmlns:a16="http://schemas.microsoft.com/office/drawing/2014/main" id="{2AABD323-73C6-49FA-953B-0D28A1F01D17}"/>
            </a:ext>
          </a:extLst>
        </xdr:cNvPr>
        <xdr:cNvSpPr txBox="1">
          <a:spLocks noChangeAspect="1"/>
        </xdr:cNvSpPr>
      </xdr:nvSpPr>
      <xdr:spPr>
        <a:xfrm>
          <a:off x="3913519" y="1261763"/>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F4ADBBD7-E592-462A-9C2D-920C59F153F4}" type="TxLink">
            <a:rPr lang="en-US" sz="900" b="0" i="0" u="none" strike="noStrike">
              <a:solidFill>
                <a:schemeClr val="bg1"/>
              </a:solidFill>
              <a:latin typeface="Calibri"/>
              <a:cs typeface="Calibri"/>
            </a:rPr>
            <a:pPr algn="ctr"/>
            <a:t> 28,90,197 </a:t>
          </a:fld>
          <a:endParaRPr lang="en-IN" sz="200" b="0">
            <a:solidFill>
              <a:schemeClr val="bg1"/>
            </a:solidFill>
          </a:endParaRPr>
        </a:p>
      </xdr:txBody>
    </xdr:sp>
    <xdr:clientData/>
  </xdr:twoCellAnchor>
  <xdr:twoCellAnchor editAs="absolute">
    <xdr:from>
      <xdr:col>4</xdr:col>
      <xdr:colOff>213056</xdr:colOff>
      <xdr:row>12</xdr:row>
      <xdr:rowOff>37800</xdr:rowOff>
    </xdr:from>
    <xdr:to>
      <xdr:col>5</xdr:col>
      <xdr:colOff>445599</xdr:colOff>
      <xdr:row>13</xdr:row>
      <xdr:rowOff>69922</xdr:rowOff>
    </xdr:to>
    <xdr:sp macro="" textlink="$AC$21">
      <xdr:nvSpPr>
        <xdr:cNvPr id="79" name="TextBox 12">
          <a:extLst>
            <a:ext uri="{FF2B5EF4-FFF2-40B4-BE49-F238E27FC236}">
              <a16:creationId xmlns:a16="http://schemas.microsoft.com/office/drawing/2014/main" id="{A7CE142F-235C-4231-BEF9-6728C1DCD77E}"/>
            </a:ext>
          </a:extLst>
        </xdr:cNvPr>
        <xdr:cNvSpPr txBox="1">
          <a:spLocks noChangeAspect="1"/>
        </xdr:cNvSpPr>
      </xdr:nvSpPr>
      <xdr:spPr>
        <a:xfrm>
          <a:off x="2841956" y="2323800"/>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314B9EFB-2E60-419D-8A0B-470C723C5683}" type="TxLink">
            <a:rPr lang="en-US" sz="900" b="0" i="0" u="none" strike="noStrike">
              <a:solidFill>
                <a:schemeClr val="bg1"/>
              </a:solidFill>
              <a:latin typeface="Calibri"/>
              <a:cs typeface="Calibri"/>
            </a:rPr>
            <a:pPr algn="ctr"/>
            <a:t> 9,67,868 </a:t>
          </a:fld>
          <a:endParaRPr lang="en-IN" sz="200" b="0">
            <a:solidFill>
              <a:schemeClr val="bg1"/>
            </a:solidFill>
          </a:endParaRPr>
        </a:p>
      </xdr:txBody>
    </xdr:sp>
    <xdr:clientData/>
  </xdr:twoCellAnchor>
  <xdr:twoCellAnchor editAs="absolute">
    <xdr:from>
      <xdr:col>5</xdr:col>
      <xdr:colOff>17792</xdr:colOff>
      <xdr:row>13</xdr:row>
      <xdr:rowOff>196550</xdr:rowOff>
    </xdr:from>
    <xdr:to>
      <xdr:col>6</xdr:col>
      <xdr:colOff>246102</xdr:colOff>
      <xdr:row>15</xdr:row>
      <xdr:rowOff>1130</xdr:rowOff>
    </xdr:to>
    <xdr:sp macro="" textlink="$AC$8">
      <xdr:nvSpPr>
        <xdr:cNvPr id="80" name="TextBox 13">
          <a:extLst>
            <a:ext uri="{FF2B5EF4-FFF2-40B4-BE49-F238E27FC236}">
              <a16:creationId xmlns:a16="http://schemas.microsoft.com/office/drawing/2014/main" id="{3A86C33D-F5CA-419A-A90B-CCCFF5CD1101}"/>
            </a:ext>
          </a:extLst>
        </xdr:cNvPr>
        <xdr:cNvSpPr txBox="1">
          <a:spLocks noChangeAspect="1"/>
        </xdr:cNvSpPr>
      </xdr:nvSpPr>
      <xdr:spPr>
        <a:xfrm>
          <a:off x="3244386" y="2684956"/>
          <a:ext cx="835529"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6BF58A99-7FEA-4881-A7C9-F9EF39EBBC0A}" type="TxLink">
            <a:rPr lang="en-US" sz="900" b="1" i="0" u="none" strike="noStrike">
              <a:solidFill>
                <a:srgbClr val="000000"/>
              </a:solidFill>
              <a:latin typeface="Calibri"/>
              <a:cs typeface="Calibri"/>
            </a:rPr>
            <a:pPr algn="ctr"/>
            <a:t> 58,57,190 </a:t>
          </a:fld>
          <a:endParaRPr lang="en-IN" sz="100" b="1">
            <a:solidFill>
              <a:sysClr val="windowText" lastClr="000000"/>
            </a:solidFill>
          </a:endParaRPr>
        </a:p>
      </xdr:txBody>
    </xdr:sp>
    <xdr:clientData/>
  </xdr:twoCellAnchor>
  <xdr:twoCellAnchor editAs="absolute">
    <xdr:from>
      <xdr:col>4</xdr:col>
      <xdr:colOff>36844</xdr:colOff>
      <xdr:row>14</xdr:row>
      <xdr:rowOff>106062</xdr:rowOff>
    </xdr:from>
    <xdr:to>
      <xdr:col>5</xdr:col>
      <xdr:colOff>265154</xdr:colOff>
      <xdr:row>15</xdr:row>
      <xdr:rowOff>127600</xdr:rowOff>
    </xdr:to>
    <xdr:sp macro="" textlink="$AC$14">
      <xdr:nvSpPr>
        <xdr:cNvPr id="81" name="TextBox 14">
          <a:extLst>
            <a:ext uri="{FF2B5EF4-FFF2-40B4-BE49-F238E27FC236}">
              <a16:creationId xmlns:a16="http://schemas.microsoft.com/office/drawing/2014/main" id="{AC492787-3425-472B-B864-7B1B5F7C84F5}"/>
            </a:ext>
          </a:extLst>
        </xdr:cNvPr>
        <xdr:cNvSpPr txBox="1">
          <a:spLocks noChangeAspect="1"/>
        </xdr:cNvSpPr>
      </xdr:nvSpPr>
      <xdr:spPr>
        <a:xfrm>
          <a:off x="2665744" y="2804812"/>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250D475B-1F11-4ED3-ACEB-CBC1BBF1E506}" type="TxLink">
            <a:rPr lang="en-US" sz="900" b="0" i="0" u="none" strike="noStrike">
              <a:solidFill>
                <a:schemeClr val="bg1"/>
              </a:solidFill>
              <a:latin typeface="Calibri"/>
              <a:cs typeface="Calibri"/>
            </a:rPr>
            <a:pPr algn="ctr"/>
            <a:t> 6,29,185 </a:t>
          </a:fld>
          <a:endParaRPr lang="en-IN" sz="100" b="0">
            <a:solidFill>
              <a:schemeClr val="bg1"/>
            </a:solidFill>
          </a:endParaRPr>
        </a:p>
      </xdr:txBody>
    </xdr:sp>
    <xdr:clientData/>
  </xdr:twoCellAnchor>
  <xdr:twoCellAnchor editAs="absolute">
    <xdr:from>
      <xdr:col>4</xdr:col>
      <xdr:colOff>227345</xdr:colOff>
      <xdr:row>21</xdr:row>
      <xdr:rowOff>46794</xdr:rowOff>
    </xdr:from>
    <xdr:to>
      <xdr:col>5</xdr:col>
      <xdr:colOff>459888</xdr:colOff>
      <xdr:row>22</xdr:row>
      <xdr:rowOff>79974</xdr:rowOff>
    </xdr:to>
    <xdr:sp macro="" textlink="$AC$16">
      <xdr:nvSpPr>
        <xdr:cNvPr id="82" name="TextBox 15">
          <a:extLst>
            <a:ext uri="{FF2B5EF4-FFF2-40B4-BE49-F238E27FC236}">
              <a16:creationId xmlns:a16="http://schemas.microsoft.com/office/drawing/2014/main" id="{D7A63397-48DA-43EC-BC7C-3912020885FA}"/>
            </a:ext>
          </a:extLst>
        </xdr:cNvPr>
        <xdr:cNvSpPr txBox="1">
          <a:spLocks noChangeAspect="1"/>
        </xdr:cNvSpPr>
      </xdr:nvSpPr>
      <xdr:spPr>
        <a:xfrm>
          <a:off x="2856245" y="4100211"/>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FCBEA1FF-EFC5-4797-B2F4-261FC76070D3}" type="TxLink">
            <a:rPr lang="en-US" sz="900" b="0" i="0" u="none" strike="noStrike">
              <a:solidFill>
                <a:schemeClr val="bg1"/>
              </a:solidFill>
              <a:latin typeface="Calibri"/>
              <a:cs typeface="Calibri"/>
            </a:rPr>
            <a:pPr algn="ctr"/>
            <a:t> 110,27,995 </a:t>
          </a:fld>
          <a:endParaRPr lang="en-IN" sz="100" b="0">
            <a:solidFill>
              <a:schemeClr val="bg1"/>
            </a:solidFill>
          </a:endParaRPr>
        </a:p>
      </xdr:txBody>
    </xdr:sp>
    <xdr:clientData/>
  </xdr:twoCellAnchor>
  <xdr:twoCellAnchor editAs="absolute">
    <xdr:from>
      <xdr:col>3</xdr:col>
      <xdr:colOff>127333</xdr:colOff>
      <xdr:row>22</xdr:row>
      <xdr:rowOff>195491</xdr:rowOff>
    </xdr:from>
    <xdr:to>
      <xdr:col>4</xdr:col>
      <xdr:colOff>355643</xdr:colOff>
      <xdr:row>24</xdr:row>
      <xdr:rowOff>37113</xdr:rowOff>
    </xdr:to>
    <xdr:sp macro="" textlink="$AC$5">
      <xdr:nvSpPr>
        <xdr:cNvPr id="83" name="TextBox 16">
          <a:extLst>
            <a:ext uri="{FF2B5EF4-FFF2-40B4-BE49-F238E27FC236}">
              <a16:creationId xmlns:a16="http://schemas.microsoft.com/office/drawing/2014/main" id="{6492FE02-D76B-472B-82F6-C6AA04179878}"/>
            </a:ext>
          </a:extLst>
        </xdr:cNvPr>
        <xdr:cNvSpPr txBox="1">
          <a:spLocks noChangeAspect="1"/>
        </xdr:cNvSpPr>
      </xdr:nvSpPr>
      <xdr:spPr>
        <a:xfrm>
          <a:off x="2146633" y="4447874"/>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C3C12CF9-9202-41B2-AD5B-709161D10B12}" type="TxLink">
            <a:rPr lang="en-US" sz="900" b="0" i="0" u="none" strike="noStrike">
              <a:solidFill>
                <a:schemeClr val="bg1"/>
              </a:solidFill>
              <a:latin typeface="Calibri"/>
              <a:cs typeface="Calibri"/>
            </a:rPr>
            <a:pPr algn="ctr"/>
            <a:t> 22,23,573 </a:t>
          </a:fld>
          <a:endParaRPr lang="en-IN" sz="100" b="0">
            <a:solidFill>
              <a:schemeClr val="bg1"/>
            </a:solidFill>
          </a:endParaRPr>
        </a:p>
      </xdr:txBody>
    </xdr:sp>
    <xdr:clientData/>
  </xdr:twoCellAnchor>
  <xdr:twoCellAnchor editAs="absolute">
    <xdr:from>
      <xdr:col>5</xdr:col>
      <xdr:colOff>41608</xdr:colOff>
      <xdr:row>25</xdr:row>
      <xdr:rowOff>146808</xdr:rowOff>
    </xdr:from>
    <xdr:to>
      <xdr:col>6</xdr:col>
      <xdr:colOff>269918</xdr:colOff>
      <xdr:row>26</xdr:row>
      <xdr:rowOff>189513</xdr:rowOff>
    </xdr:to>
    <xdr:sp macro="" textlink="$AC$17">
      <xdr:nvSpPr>
        <xdr:cNvPr id="84" name="TextBox 17">
          <a:extLst>
            <a:ext uri="{FF2B5EF4-FFF2-40B4-BE49-F238E27FC236}">
              <a16:creationId xmlns:a16="http://schemas.microsoft.com/office/drawing/2014/main" id="{1F52E371-F94C-497C-B7B0-DBEB55AE29A9}"/>
            </a:ext>
          </a:extLst>
        </xdr:cNvPr>
        <xdr:cNvSpPr txBox="1">
          <a:spLocks noChangeAspect="1"/>
        </xdr:cNvSpPr>
      </xdr:nvSpPr>
      <xdr:spPr>
        <a:xfrm>
          <a:off x="3280108" y="4981274"/>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lIns="36000" rtlCol="0" anchor="ctr">
          <a:spAutoFit/>
        </a:bodyPr>
        <a:lstStyle/>
        <a:p>
          <a:pPr algn="ctr"/>
          <a:fld id="{9E63B234-13A7-4B32-8280-23B5C8A30D2E}" type="TxLink">
            <a:rPr lang="en-US" sz="900" b="0" i="0" u="none" strike="noStrike">
              <a:solidFill>
                <a:schemeClr val="bg1"/>
              </a:solidFill>
              <a:latin typeface="Calibri"/>
              <a:cs typeface="Calibri"/>
            </a:rPr>
            <a:pPr algn="ctr"/>
            <a:t> 19,38,666 </a:t>
          </a:fld>
          <a:endParaRPr lang="en-IN" sz="100" b="0">
            <a:solidFill>
              <a:schemeClr val="bg1"/>
            </a:solidFill>
          </a:endParaRPr>
        </a:p>
      </xdr:txBody>
    </xdr:sp>
    <xdr:clientData/>
  </xdr:twoCellAnchor>
  <xdr:twoCellAnchor editAs="absolute">
    <xdr:from>
      <xdr:col>3</xdr:col>
      <xdr:colOff>503041</xdr:colOff>
      <xdr:row>25</xdr:row>
      <xdr:rowOff>165858</xdr:rowOff>
    </xdr:from>
    <xdr:to>
      <xdr:col>5</xdr:col>
      <xdr:colOff>117518</xdr:colOff>
      <xdr:row>27</xdr:row>
      <xdr:rowOff>18063</xdr:rowOff>
    </xdr:to>
    <xdr:sp macro="" textlink="$AC$6">
      <xdr:nvSpPr>
        <xdr:cNvPr id="85" name="TextBox 18">
          <a:extLst>
            <a:ext uri="{FF2B5EF4-FFF2-40B4-BE49-F238E27FC236}">
              <a16:creationId xmlns:a16="http://schemas.microsoft.com/office/drawing/2014/main" id="{455D1F79-CD21-4CEC-8068-D2C0944359C2}"/>
            </a:ext>
          </a:extLst>
        </xdr:cNvPr>
        <xdr:cNvSpPr txBox="1">
          <a:spLocks noChangeAspect="1"/>
        </xdr:cNvSpPr>
      </xdr:nvSpPr>
      <xdr:spPr>
        <a:xfrm>
          <a:off x="2518108" y="5000324"/>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45B0A06F-57A4-4714-B02B-C025822C8DF4}" type="TxLink">
            <a:rPr lang="en-US" sz="900" b="0" i="0" u="none" strike="noStrike">
              <a:solidFill>
                <a:schemeClr val="bg1"/>
              </a:solidFill>
              <a:latin typeface="Calibri"/>
              <a:cs typeface="Calibri"/>
            </a:rPr>
            <a:pPr algn="ctr"/>
            <a:t> 49,54,874 </a:t>
          </a:fld>
          <a:endParaRPr lang="en-IN" sz="100" b="0">
            <a:solidFill>
              <a:schemeClr val="bg1"/>
            </a:solidFill>
          </a:endParaRPr>
        </a:p>
      </xdr:txBody>
    </xdr:sp>
    <xdr:clientData/>
  </xdr:twoCellAnchor>
  <xdr:twoCellAnchor editAs="absolute">
    <xdr:from>
      <xdr:col>1</xdr:col>
      <xdr:colOff>127333</xdr:colOff>
      <xdr:row>27</xdr:row>
      <xdr:rowOff>32508</xdr:rowOff>
    </xdr:from>
    <xdr:to>
      <xdr:col>2</xdr:col>
      <xdr:colOff>355643</xdr:colOff>
      <xdr:row>28</xdr:row>
      <xdr:rowOff>75213</xdr:rowOff>
    </xdr:to>
    <xdr:sp macro="" textlink="$AC$19">
      <xdr:nvSpPr>
        <xdr:cNvPr id="86" name="TextBox 19">
          <a:extLst>
            <a:ext uri="{FF2B5EF4-FFF2-40B4-BE49-F238E27FC236}">
              <a16:creationId xmlns:a16="http://schemas.microsoft.com/office/drawing/2014/main" id="{0E116290-C394-4144-B46D-92C7D6917868}"/>
            </a:ext>
          </a:extLst>
        </xdr:cNvPr>
        <xdr:cNvSpPr txBox="1">
          <a:spLocks noChangeAspect="1"/>
        </xdr:cNvSpPr>
      </xdr:nvSpPr>
      <xdr:spPr>
        <a:xfrm>
          <a:off x="927433" y="5247974"/>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E9ADD632-F902-4E95-84BB-01BFE859DE50}" type="TxLink">
            <a:rPr lang="en-US" sz="900" b="0" i="0" u="none" strike="noStrike">
              <a:solidFill>
                <a:schemeClr val="bg1"/>
              </a:solidFill>
              <a:latin typeface="Calibri"/>
              <a:cs typeface="Calibri"/>
            </a:rPr>
            <a:pPr algn="ctr"/>
            <a:t> 82,86,922 </a:t>
          </a:fld>
          <a:endParaRPr lang="en-IN" sz="100" b="0">
            <a:solidFill>
              <a:schemeClr val="bg1"/>
            </a:solidFill>
          </a:endParaRPr>
        </a:p>
      </xdr:txBody>
    </xdr:sp>
    <xdr:clientData/>
  </xdr:twoCellAnchor>
  <xdr:twoCellAnchor editAs="absolute">
    <xdr:from>
      <xdr:col>2</xdr:col>
      <xdr:colOff>317833</xdr:colOff>
      <xdr:row>27</xdr:row>
      <xdr:rowOff>156333</xdr:rowOff>
    </xdr:from>
    <xdr:to>
      <xdr:col>3</xdr:col>
      <xdr:colOff>550376</xdr:colOff>
      <xdr:row>29</xdr:row>
      <xdr:rowOff>8538</xdr:rowOff>
    </xdr:to>
    <xdr:sp macro="" textlink="$AC$4">
      <xdr:nvSpPr>
        <xdr:cNvPr id="87" name="TextBox 20">
          <a:extLst>
            <a:ext uri="{FF2B5EF4-FFF2-40B4-BE49-F238E27FC236}">
              <a16:creationId xmlns:a16="http://schemas.microsoft.com/office/drawing/2014/main" id="{7405B4C4-B692-4602-AC59-BCCAE6769335}"/>
            </a:ext>
          </a:extLst>
        </xdr:cNvPr>
        <xdr:cNvSpPr txBox="1">
          <a:spLocks noChangeAspect="1"/>
        </xdr:cNvSpPr>
      </xdr:nvSpPr>
      <xdr:spPr>
        <a:xfrm>
          <a:off x="1727533" y="5371799"/>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3CC3FB76-5CAE-47B7-B769-3A7791B69686}" type="TxLink">
            <a:rPr lang="en-US" sz="900" b="0" i="0" u="none" strike="noStrike">
              <a:solidFill>
                <a:schemeClr val="bg1"/>
              </a:solidFill>
              <a:latin typeface="Calibri"/>
              <a:cs typeface="Calibri"/>
            </a:rPr>
            <a:pPr algn="ctr"/>
            <a:t> 200,68,625 </a:t>
          </a:fld>
          <a:endParaRPr lang="en-IN" sz="100" b="0">
            <a:solidFill>
              <a:schemeClr val="bg1"/>
            </a:solidFill>
          </a:endParaRPr>
        </a:p>
      </xdr:txBody>
    </xdr:sp>
    <xdr:clientData/>
  </xdr:twoCellAnchor>
  <xdr:twoCellAnchor editAs="absolute">
    <xdr:from>
      <xdr:col>3</xdr:col>
      <xdr:colOff>22558</xdr:colOff>
      <xdr:row>32</xdr:row>
      <xdr:rowOff>165858</xdr:rowOff>
    </xdr:from>
    <xdr:to>
      <xdr:col>4</xdr:col>
      <xdr:colOff>250868</xdr:colOff>
      <xdr:row>34</xdr:row>
      <xdr:rowOff>18063</xdr:rowOff>
    </xdr:to>
    <xdr:sp macro="" textlink="$AC$15">
      <xdr:nvSpPr>
        <xdr:cNvPr id="88" name="TextBox 21">
          <a:extLst>
            <a:ext uri="{FF2B5EF4-FFF2-40B4-BE49-F238E27FC236}">
              <a16:creationId xmlns:a16="http://schemas.microsoft.com/office/drawing/2014/main" id="{F50E8E13-E38B-4FE4-B458-5F6BA5217D63}"/>
            </a:ext>
          </a:extLst>
        </xdr:cNvPr>
        <xdr:cNvSpPr txBox="1">
          <a:spLocks noChangeAspect="1"/>
        </xdr:cNvSpPr>
      </xdr:nvSpPr>
      <xdr:spPr>
        <a:xfrm>
          <a:off x="2041858" y="6333824"/>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F0385F0C-F2F7-4C7E-94E2-DA9C7F8D6120}" type="TxLink">
            <a:rPr lang="en-US" sz="900" b="0" i="0" u="none" strike="noStrike">
              <a:solidFill>
                <a:schemeClr val="bg1"/>
              </a:solidFill>
              <a:latin typeface="Calibri"/>
              <a:cs typeface="Calibri"/>
            </a:rPr>
            <a:pPr algn="ctr"/>
            <a:t> 239,67,900 </a:t>
          </a:fld>
          <a:endParaRPr lang="en-IN" sz="100" b="0">
            <a:solidFill>
              <a:schemeClr val="bg1"/>
            </a:solidFill>
          </a:endParaRPr>
        </a:p>
      </xdr:txBody>
    </xdr:sp>
    <xdr:clientData/>
  </xdr:twoCellAnchor>
  <xdr:twoCellAnchor editAs="absolute">
    <xdr:from>
      <xdr:col>4</xdr:col>
      <xdr:colOff>98758</xdr:colOff>
      <xdr:row>29</xdr:row>
      <xdr:rowOff>42033</xdr:rowOff>
    </xdr:from>
    <xdr:to>
      <xdr:col>5</xdr:col>
      <xdr:colOff>327068</xdr:colOff>
      <xdr:row>30</xdr:row>
      <xdr:rowOff>84738</xdr:rowOff>
    </xdr:to>
    <xdr:sp macro="" textlink="$AC$10">
      <xdr:nvSpPr>
        <xdr:cNvPr id="89" name="TextBox 22">
          <a:extLst>
            <a:ext uri="{FF2B5EF4-FFF2-40B4-BE49-F238E27FC236}">
              <a16:creationId xmlns:a16="http://schemas.microsoft.com/office/drawing/2014/main" id="{B096988C-F0B6-47AB-B9FC-A507A74A5D5D}"/>
            </a:ext>
          </a:extLst>
        </xdr:cNvPr>
        <xdr:cNvSpPr txBox="1">
          <a:spLocks noChangeAspect="1"/>
        </xdr:cNvSpPr>
      </xdr:nvSpPr>
      <xdr:spPr>
        <a:xfrm>
          <a:off x="2727658" y="5638499"/>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6DDF00B6-5D56-4BD3-9D2C-81C0A1E888A4}" type="TxLink">
            <a:rPr lang="en-US" sz="900" b="0" i="0" u="none" strike="noStrike">
              <a:solidFill>
                <a:schemeClr val="bg1"/>
              </a:solidFill>
              <a:latin typeface="Calibri"/>
              <a:cs typeface="Calibri"/>
            </a:rPr>
            <a:pPr algn="ctr"/>
            <a:t> 8,91,056 </a:t>
          </a:fld>
          <a:endParaRPr lang="en-IN" sz="100" b="0">
            <a:solidFill>
              <a:schemeClr val="bg1"/>
            </a:solidFill>
          </a:endParaRPr>
        </a:p>
      </xdr:txBody>
    </xdr:sp>
    <xdr:clientData/>
  </xdr:twoCellAnchor>
  <xdr:twoCellAnchor editAs="absolute">
    <xdr:from>
      <xdr:col>4</xdr:col>
      <xdr:colOff>3508</xdr:colOff>
      <xdr:row>31</xdr:row>
      <xdr:rowOff>22983</xdr:rowOff>
    </xdr:from>
    <xdr:to>
      <xdr:col>5</xdr:col>
      <xdr:colOff>231818</xdr:colOff>
      <xdr:row>32</xdr:row>
      <xdr:rowOff>65688</xdr:rowOff>
    </xdr:to>
    <xdr:sp macro="" textlink="$AC$11">
      <xdr:nvSpPr>
        <xdr:cNvPr id="90" name="TextBox 23">
          <a:extLst>
            <a:ext uri="{FF2B5EF4-FFF2-40B4-BE49-F238E27FC236}">
              <a16:creationId xmlns:a16="http://schemas.microsoft.com/office/drawing/2014/main" id="{F1A11FAB-6F4B-4968-8E8A-9D8B6B3802C3}"/>
            </a:ext>
          </a:extLst>
        </xdr:cNvPr>
        <xdr:cNvSpPr txBox="1">
          <a:spLocks noChangeAspect="1"/>
        </xdr:cNvSpPr>
      </xdr:nvSpPr>
      <xdr:spPr>
        <a:xfrm>
          <a:off x="2632408" y="6000449"/>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8619B28F-51C9-494B-8541-481AA081C76D}" type="TxLink">
            <a:rPr lang="en-US" sz="900" b="0" i="0" u="none" strike="noStrike">
              <a:solidFill>
                <a:schemeClr val="bg1"/>
              </a:solidFill>
              <a:latin typeface="Calibri"/>
              <a:cs typeface="Calibri"/>
            </a:rPr>
            <a:pPr algn="ctr"/>
            <a:t> 28,20,133 </a:t>
          </a:fld>
          <a:endParaRPr lang="en-IN" sz="100" b="0">
            <a:solidFill>
              <a:schemeClr val="bg1"/>
            </a:solidFill>
          </a:endParaRPr>
        </a:p>
      </xdr:txBody>
    </xdr:sp>
    <xdr:clientData/>
  </xdr:twoCellAnchor>
  <xdr:twoCellAnchor editAs="absolute">
    <xdr:from>
      <xdr:col>4</xdr:col>
      <xdr:colOff>512567</xdr:colOff>
      <xdr:row>33</xdr:row>
      <xdr:rowOff>13458</xdr:rowOff>
    </xdr:from>
    <xdr:to>
      <xdr:col>6</xdr:col>
      <xdr:colOff>127043</xdr:colOff>
      <xdr:row>34</xdr:row>
      <xdr:rowOff>56163</xdr:rowOff>
    </xdr:to>
    <xdr:sp macro="" textlink="$AC$20">
      <xdr:nvSpPr>
        <xdr:cNvPr id="91" name="TextBox 24">
          <a:extLst>
            <a:ext uri="{FF2B5EF4-FFF2-40B4-BE49-F238E27FC236}">
              <a16:creationId xmlns:a16="http://schemas.microsoft.com/office/drawing/2014/main" id="{AD65CD38-68EE-4581-ADA8-D94D1854D540}"/>
            </a:ext>
          </a:extLst>
        </xdr:cNvPr>
        <xdr:cNvSpPr txBox="1">
          <a:spLocks noChangeAspect="1"/>
        </xdr:cNvSpPr>
      </xdr:nvSpPr>
      <xdr:spPr>
        <a:xfrm>
          <a:off x="3137233" y="6371924"/>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36C45A62-A8AD-4605-A091-7FF8DC0280C7}" type="TxLink">
            <a:rPr lang="en-US" sz="900" b="0" i="0" u="none" strike="noStrike">
              <a:solidFill>
                <a:schemeClr val="bg1"/>
              </a:solidFill>
              <a:latin typeface="Calibri"/>
              <a:cs typeface="Calibri"/>
            </a:rPr>
            <a:pPr algn="ctr"/>
            <a:t> 235,53,488 </a:t>
          </a:fld>
          <a:endParaRPr lang="en-IN" sz="100" b="0">
            <a:solidFill>
              <a:schemeClr val="bg1"/>
            </a:solidFill>
          </a:endParaRPr>
        </a:p>
      </xdr:txBody>
    </xdr:sp>
    <xdr:clientData/>
  </xdr:twoCellAnchor>
  <xdr:twoCellAnchor editAs="absolute">
    <xdr:from>
      <xdr:col>6</xdr:col>
      <xdr:colOff>127333</xdr:colOff>
      <xdr:row>29</xdr:row>
      <xdr:rowOff>70608</xdr:rowOff>
    </xdr:from>
    <xdr:to>
      <xdr:col>7</xdr:col>
      <xdr:colOff>355643</xdr:colOff>
      <xdr:row>30</xdr:row>
      <xdr:rowOff>113313</xdr:rowOff>
    </xdr:to>
    <xdr:sp macro="" textlink="$AC$18">
      <xdr:nvSpPr>
        <xdr:cNvPr id="92" name="TextBox 25">
          <a:extLst>
            <a:ext uri="{FF2B5EF4-FFF2-40B4-BE49-F238E27FC236}">
              <a16:creationId xmlns:a16="http://schemas.microsoft.com/office/drawing/2014/main" id="{521C689E-362F-4AFB-B851-4E7E82FC9DDE}"/>
            </a:ext>
          </a:extLst>
        </xdr:cNvPr>
        <xdr:cNvSpPr txBox="1">
          <a:spLocks noChangeAspect="1"/>
        </xdr:cNvSpPr>
      </xdr:nvSpPr>
      <xdr:spPr>
        <a:xfrm>
          <a:off x="3975433" y="5667074"/>
          <a:ext cx="83791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5BD55824-3F6F-4B90-8D8C-6567CABA9CF5}" type="TxLink">
            <a:rPr lang="en-US" sz="900" b="1" i="0" u="none" strike="noStrike">
              <a:solidFill>
                <a:srgbClr val="000000"/>
              </a:solidFill>
              <a:latin typeface="Calibri"/>
              <a:cs typeface="Calibri"/>
            </a:rPr>
            <a:pPr algn="ctr"/>
            <a:t> 308,00,932 </a:t>
          </a:fld>
          <a:endParaRPr lang="en-IN" sz="100" b="1">
            <a:solidFill>
              <a:sysClr val="windowText" lastClr="000000"/>
            </a:solidFill>
          </a:endParaRPr>
        </a:p>
      </xdr:txBody>
    </xdr:sp>
    <xdr:clientData/>
  </xdr:twoCellAnchor>
  <xdr:twoCellAnchor editAs="absolute">
    <xdr:from>
      <xdr:col>6</xdr:col>
      <xdr:colOff>355933</xdr:colOff>
      <xdr:row>31</xdr:row>
      <xdr:rowOff>148924</xdr:rowOff>
    </xdr:from>
    <xdr:to>
      <xdr:col>7</xdr:col>
      <xdr:colOff>588477</xdr:colOff>
      <xdr:row>33</xdr:row>
      <xdr:rowOff>1129</xdr:rowOff>
    </xdr:to>
    <xdr:sp macro="" textlink="$AC$13">
      <xdr:nvSpPr>
        <xdr:cNvPr id="93" name="TextBox 26">
          <a:extLst>
            <a:ext uri="{FF2B5EF4-FFF2-40B4-BE49-F238E27FC236}">
              <a16:creationId xmlns:a16="http://schemas.microsoft.com/office/drawing/2014/main" id="{1FCA9219-25EA-4268-8649-096750559F83}"/>
            </a:ext>
          </a:extLst>
        </xdr:cNvPr>
        <xdr:cNvSpPr txBox="1">
          <a:spLocks noChangeAspect="1"/>
        </xdr:cNvSpPr>
      </xdr:nvSpPr>
      <xdr:spPr>
        <a:xfrm>
          <a:off x="4229433" y="6128507"/>
          <a:ext cx="846377" cy="233205"/>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0881BFBD-3BFB-4ECD-8893-216D7E0BF054}" type="TxLink">
            <a:rPr lang="en-US" sz="900" b="1" i="0" u="none" strike="noStrike">
              <a:solidFill>
                <a:schemeClr val="bg1"/>
              </a:solidFill>
              <a:latin typeface="Calibri"/>
              <a:cs typeface="Calibri"/>
            </a:rPr>
            <a:pPr algn="ctr"/>
            <a:t> 452,96,897 </a:t>
          </a:fld>
          <a:endParaRPr lang="en-IN" sz="100" b="1">
            <a:solidFill>
              <a:schemeClr val="bg1"/>
            </a:solidFill>
          </a:endParaRPr>
        </a:p>
      </xdr:txBody>
    </xdr:sp>
    <xdr:clientData/>
  </xdr:twoCellAnchor>
  <xdr:twoCellAnchor editAs="absolute">
    <xdr:from>
      <xdr:col>6</xdr:col>
      <xdr:colOff>355933</xdr:colOff>
      <xdr:row>30</xdr:row>
      <xdr:rowOff>167560</xdr:rowOff>
    </xdr:from>
    <xdr:to>
      <xdr:col>7</xdr:col>
      <xdr:colOff>588477</xdr:colOff>
      <xdr:row>32</xdr:row>
      <xdr:rowOff>35411</xdr:rowOff>
    </xdr:to>
    <xdr:sp macro="" textlink="$W$13">
      <xdr:nvSpPr>
        <xdr:cNvPr id="94" name="TextBox 27">
          <a:extLst>
            <a:ext uri="{FF2B5EF4-FFF2-40B4-BE49-F238E27FC236}">
              <a16:creationId xmlns:a16="http://schemas.microsoft.com/office/drawing/2014/main" id="{EF4E8C59-8B10-426E-AAE3-647994911ADF}"/>
            </a:ext>
          </a:extLst>
        </xdr:cNvPr>
        <xdr:cNvSpPr txBox="1">
          <a:spLocks noChangeAspect="1"/>
        </xdr:cNvSpPr>
      </xdr:nvSpPr>
      <xdr:spPr>
        <a:xfrm>
          <a:off x="4204033" y="5954526"/>
          <a:ext cx="837910" cy="248851"/>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lIns="36000" rtlCol="0" anchor="ctr">
          <a:spAutoFit/>
        </a:bodyPr>
        <a:lstStyle/>
        <a:p>
          <a:pPr algn="ctr"/>
          <a:fld id="{8BE6A01A-E077-48E1-9D85-C3DD3C5C14E1}" type="TxLink">
            <a:rPr lang="en-US" sz="1000" b="1" i="0" u="none" strike="noStrike">
              <a:solidFill>
                <a:schemeClr val="bg1"/>
              </a:solidFill>
              <a:latin typeface="Calibri"/>
              <a:cs typeface="Calibri"/>
            </a:rPr>
            <a:pPr algn="ctr"/>
            <a:t>KOLKATA</a:t>
          </a:fld>
          <a:endParaRPr lang="en-IN" sz="200" b="1">
            <a:solidFill>
              <a:schemeClr val="bg1"/>
            </a:solidFill>
          </a:endParaRPr>
        </a:p>
      </xdr:txBody>
    </xdr:sp>
    <xdr:clientData/>
  </xdr:twoCellAnchor>
  <xdr:twoCellAnchor editAs="absolute">
    <xdr:from>
      <xdr:col>5</xdr:col>
      <xdr:colOff>228600</xdr:colOff>
      <xdr:row>31</xdr:row>
      <xdr:rowOff>99484</xdr:rowOff>
    </xdr:from>
    <xdr:to>
      <xdr:col>6</xdr:col>
      <xdr:colOff>411000</xdr:colOff>
      <xdr:row>31</xdr:row>
      <xdr:rowOff>99484</xdr:rowOff>
    </xdr:to>
    <xdr:cxnSp macro="">
      <xdr:nvCxnSpPr>
        <xdr:cNvPr id="95" name="Straight Arrow Connector 94">
          <a:extLst>
            <a:ext uri="{FF2B5EF4-FFF2-40B4-BE49-F238E27FC236}">
              <a16:creationId xmlns:a16="http://schemas.microsoft.com/office/drawing/2014/main" id="{24B8BA18-7346-4244-BB15-54FF0A11BBAF}"/>
            </a:ext>
          </a:extLst>
        </xdr:cNvPr>
        <xdr:cNvCxnSpPr>
          <a:cxnSpLocks noChangeAspect="1"/>
        </xdr:cNvCxnSpPr>
      </xdr:nvCxnSpPr>
      <xdr:spPr>
        <a:xfrm flipH="1">
          <a:off x="3467100" y="6076950"/>
          <a:ext cx="7920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66675</xdr:colOff>
      <xdr:row>1</xdr:row>
      <xdr:rowOff>38100</xdr:rowOff>
    </xdr:from>
    <xdr:to>
      <xdr:col>13</xdr:col>
      <xdr:colOff>2872318</xdr:colOff>
      <xdr:row>15</xdr:row>
      <xdr:rowOff>74830</xdr:rowOff>
    </xdr:to>
    <xdr:grpSp>
      <xdr:nvGrpSpPr>
        <xdr:cNvPr id="118" name="Group 117">
          <a:extLst>
            <a:ext uri="{FF2B5EF4-FFF2-40B4-BE49-F238E27FC236}">
              <a16:creationId xmlns:a16="http://schemas.microsoft.com/office/drawing/2014/main" id="{85E5CF91-5330-487B-B32A-1FF8569BF15D}"/>
            </a:ext>
          </a:extLst>
        </xdr:cNvPr>
        <xdr:cNvGrpSpPr>
          <a:grpSpLocks noChangeAspect="1"/>
        </xdr:cNvGrpSpPr>
      </xdr:nvGrpSpPr>
      <xdr:grpSpPr>
        <a:xfrm>
          <a:off x="9877425" y="228600"/>
          <a:ext cx="2805643" cy="2763261"/>
          <a:chOff x="6804025" y="5683249"/>
          <a:chExt cx="2805643" cy="2698751"/>
        </a:xfrm>
      </xdr:grpSpPr>
      <xdr:sp macro="" textlink="">
        <xdr:nvSpPr>
          <xdr:cNvPr id="119" name="Chord 118">
            <a:extLst>
              <a:ext uri="{FF2B5EF4-FFF2-40B4-BE49-F238E27FC236}">
                <a16:creationId xmlns:a16="http://schemas.microsoft.com/office/drawing/2014/main" id="{19E0E322-B3C2-49C2-B4AC-C79BF577298B}"/>
              </a:ext>
            </a:extLst>
          </xdr:cNvPr>
          <xdr:cNvSpPr/>
        </xdr:nvSpPr>
        <xdr:spPr>
          <a:xfrm>
            <a:off x="6804025" y="5683249"/>
            <a:ext cx="2743200" cy="2698751"/>
          </a:xfrm>
          <a:prstGeom prst="chord">
            <a:avLst>
              <a:gd name="adj1" fmla="val 9605193"/>
              <a:gd name="adj2" fmla="val 1196340"/>
            </a:avLst>
          </a:prstGeom>
          <a:gradFill>
            <a:gsLst>
              <a:gs pos="20000">
                <a:schemeClr val="bg1"/>
              </a:gs>
              <a:gs pos="60000">
                <a:schemeClr val="bg1">
                  <a:lumMod val="65000"/>
                </a:schemeClr>
              </a:gs>
              <a:gs pos="100000">
                <a:schemeClr val="tx1">
                  <a:lumMod val="50000"/>
                  <a:lumOff val="50000"/>
                </a:schemeClr>
              </a:gs>
            </a:gsLst>
            <a:lin ang="1800000" scaled="0"/>
          </a:gradFill>
          <a:ln w="762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0" name="Chord 119">
            <a:extLst>
              <a:ext uri="{FF2B5EF4-FFF2-40B4-BE49-F238E27FC236}">
                <a16:creationId xmlns:a16="http://schemas.microsoft.com/office/drawing/2014/main" id="{2C193903-A103-4D7C-913E-C606E0799399}"/>
              </a:ext>
            </a:extLst>
          </xdr:cNvPr>
          <xdr:cNvSpPr/>
        </xdr:nvSpPr>
        <xdr:spPr>
          <a:xfrm>
            <a:off x="7154912" y="5979583"/>
            <a:ext cx="2041427" cy="2291879"/>
          </a:xfrm>
          <a:prstGeom prst="chord">
            <a:avLst>
              <a:gd name="adj1" fmla="val 9616337"/>
              <a:gd name="adj2" fmla="val 1270023"/>
            </a:avLst>
          </a:prstGeom>
          <a:gradFill>
            <a:gsLst>
              <a:gs pos="20000">
                <a:schemeClr val="bg1"/>
              </a:gs>
              <a:gs pos="60000">
                <a:schemeClr val="bg1">
                  <a:lumMod val="65000"/>
                </a:schemeClr>
              </a:gs>
              <a:gs pos="100000">
                <a:schemeClr val="tx1">
                  <a:lumMod val="50000"/>
                  <a:lumOff val="50000"/>
                </a:schemeClr>
              </a:gs>
            </a:gsLst>
            <a:lin ang="6600000" scaled="0"/>
          </a:gra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1" name="Chord 120">
            <a:extLst>
              <a:ext uri="{FF2B5EF4-FFF2-40B4-BE49-F238E27FC236}">
                <a16:creationId xmlns:a16="http://schemas.microsoft.com/office/drawing/2014/main" id="{F99D07FE-7EE4-4E3F-BF4D-52A5996B4359}"/>
              </a:ext>
            </a:extLst>
          </xdr:cNvPr>
          <xdr:cNvSpPr/>
        </xdr:nvSpPr>
        <xdr:spPr>
          <a:xfrm>
            <a:off x="7239875" y="6092830"/>
            <a:ext cx="1871500" cy="2101105"/>
          </a:xfrm>
          <a:prstGeom prst="chord">
            <a:avLst>
              <a:gd name="adj1" fmla="val 9551722"/>
              <a:gd name="adj2" fmla="val 1267033"/>
            </a:avLst>
          </a:prstGeom>
          <a:gradFill>
            <a:gsLst>
              <a:gs pos="0">
                <a:srgbClr val="FFC000"/>
              </a:gs>
              <a:gs pos="100000">
                <a:schemeClr val="accent2"/>
              </a:gs>
            </a:gsLst>
            <a:lin ang="6600000" scaled="0"/>
          </a:gradFill>
          <a:ln w="38100">
            <a:noFill/>
          </a:ln>
          <a:effectLst>
            <a:innerShdw blurRad="254000">
              <a:prstClr val="black">
                <a:alpha val="9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22" name="Chart 121">
            <a:extLst>
              <a:ext uri="{FF2B5EF4-FFF2-40B4-BE49-F238E27FC236}">
                <a16:creationId xmlns:a16="http://schemas.microsoft.com/office/drawing/2014/main" id="{64AD08F5-1203-4765-B3E2-8E8B6D939194}"/>
              </a:ext>
            </a:extLst>
          </xdr:cNvPr>
          <xdr:cNvGraphicFramePr/>
        </xdr:nvGraphicFramePr>
        <xdr:xfrm>
          <a:off x="6850062" y="6369048"/>
          <a:ext cx="2672293" cy="1603376"/>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123" name="Oval 122">
            <a:extLst>
              <a:ext uri="{FF2B5EF4-FFF2-40B4-BE49-F238E27FC236}">
                <a16:creationId xmlns:a16="http://schemas.microsoft.com/office/drawing/2014/main" id="{7E148748-5980-45A2-8CF8-D37B0A42D2ED}"/>
              </a:ext>
            </a:extLst>
          </xdr:cNvPr>
          <xdr:cNvSpPr/>
        </xdr:nvSpPr>
        <xdr:spPr>
          <a:xfrm>
            <a:off x="8038042" y="7027330"/>
            <a:ext cx="296333" cy="296333"/>
          </a:xfrm>
          <a:prstGeom prst="ellipse">
            <a:avLst/>
          </a:prstGeom>
          <a:solidFill>
            <a:schemeClr val="bg1">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124" name="Straight Connector 123">
            <a:extLst>
              <a:ext uri="{FF2B5EF4-FFF2-40B4-BE49-F238E27FC236}">
                <a16:creationId xmlns:a16="http://schemas.microsoft.com/office/drawing/2014/main" id="{7BC43FF1-2C30-454A-879A-389D35499FA9}"/>
              </a:ext>
            </a:extLst>
          </xdr:cNvPr>
          <xdr:cNvCxnSpPr/>
        </xdr:nvCxnSpPr>
        <xdr:spPr>
          <a:xfrm>
            <a:off x="7344836" y="7164921"/>
            <a:ext cx="1080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31053C5B-8485-4440-B36B-5E39DE881C56}"/>
              </a:ext>
            </a:extLst>
          </xdr:cNvPr>
          <xdr:cNvCxnSpPr/>
        </xdr:nvCxnSpPr>
        <xdr:spPr>
          <a:xfrm>
            <a:off x="8900594" y="7164921"/>
            <a:ext cx="1080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BD51C75F-8CD7-4B7C-B4B4-39E97BCF6E91}"/>
              </a:ext>
            </a:extLst>
          </xdr:cNvPr>
          <xdr:cNvCxnSpPr/>
        </xdr:nvCxnSpPr>
        <xdr:spPr>
          <a:xfrm rot="16200000">
            <a:off x="8128011" y="6286504"/>
            <a:ext cx="1080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F6CDF904-54ED-4B06-8017-25AAC2CBAF21}"/>
              </a:ext>
            </a:extLst>
          </xdr:cNvPr>
          <xdr:cNvCxnSpPr/>
        </xdr:nvCxnSpPr>
        <xdr:spPr>
          <a:xfrm rot="19200000">
            <a:off x="8724912" y="6576485"/>
            <a:ext cx="1080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EE40C099-83C3-402D-80C6-0230D4C4F08E}"/>
              </a:ext>
            </a:extLst>
          </xdr:cNvPr>
          <xdr:cNvCxnSpPr/>
        </xdr:nvCxnSpPr>
        <xdr:spPr>
          <a:xfrm rot="13320000">
            <a:off x="7540248" y="6579442"/>
            <a:ext cx="1080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129" name="TextBox 128">
            <a:extLst>
              <a:ext uri="{FF2B5EF4-FFF2-40B4-BE49-F238E27FC236}">
                <a16:creationId xmlns:a16="http://schemas.microsoft.com/office/drawing/2014/main" id="{6DAE3A08-CAD7-498A-B1A8-787CD727337B}"/>
              </a:ext>
            </a:extLst>
          </xdr:cNvPr>
          <xdr:cNvSpPr txBox="1"/>
        </xdr:nvSpPr>
        <xdr:spPr>
          <a:xfrm>
            <a:off x="6826250" y="7049706"/>
            <a:ext cx="465670" cy="252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latin typeface="Agency FB" panose="020B0503020202020204" pitchFamily="34" charset="0"/>
                <a:ea typeface="Cambria" panose="02040503050406030204" pitchFamily="18" charset="0"/>
              </a:rPr>
              <a:t>0%</a:t>
            </a:r>
          </a:p>
        </xdr:txBody>
      </xdr:sp>
      <xdr:sp macro="" textlink="">
        <xdr:nvSpPr>
          <xdr:cNvPr id="130" name="TextBox 129">
            <a:extLst>
              <a:ext uri="{FF2B5EF4-FFF2-40B4-BE49-F238E27FC236}">
                <a16:creationId xmlns:a16="http://schemas.microsoft.com/office/drawing/2014/main" id="{DB7C4856-1324-4E96-88F5-8FE73DF6F07E}"/>
              </a:ext>
            </a:extLst>
          </xdr:cNvPr>
          <xdr:cNvSpPr txBox="1"/>
        </xdr:nvSpPr>
        <xdr:spPr>
          <a:xfrm>
            <a:off x="7020983" y="6228440"/>
            <a:ext cx="465670" cy="252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latin typeface="Agency FB" panose="020B0503020202020204" pitchFamily="34" charset="0"/>
                <a:ea typeface="Cambria" panose="02040503050406030204" pitchFamily="18" charset="0"/>
              </a:rPr>
              <a:t>25%</a:t>
            </a:r>
          </a:p>
        </xdr:txBody>
      </xdr:sp>
      <xdr:sp macro="" textlink="">
        <xdr:nvSpPr>
          <xdr:cNvPr id="131" name="TextBox 130">
            <a:extLst>
              <a:ext uri="{FF2B5EF4-FFF2-40B4-BE49-F238E27FC236}">
                <a16:creationId xmlns:a16="http://schemas.microsoft.com/office/drawing/2014/main" id="{D0A7AA58-7910-4D43-836E-B8E8F954CDF4}"/>
              </a:ext>
            </a:extLst>
          </xdr:cNvPr>
          <xdr:cNvSpPr txBox="1"/>
        </xdr:nvSpPr>
        <xdr:spPr>
          <a:xfrm>
            <a:off x="7962901" y="5731022"/>
            <a:ext cx="465670" cy="252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latin typeface="Agency FB" panose="020B0503020202020204" pitchFamily="34" charset="0"/>
                <a:ea typeface="Cambria" panose="02040503050406030204" pitchFamily="18" charset="0"/>
              </a:rPr>
              <a:t>50%</a:t>
            </a:r>
          </a:p>
        </xdr:txBody>
      </xdr:sp>
      <xdr:sp macro="" textlink="">
        <xdr:nvSpPr>
          <xdr:cNvPr id="132" name="TextBox 131">
            <a:extLst>
              <a:ext uri="{FF2B5EF4-FFF2-40B4-BE49-F238E27FC236}">
                <a16:creationId xmlns:a16="http://schemas.microsoft.com/office/drawing/2014/main" id="{2439BA37-52F5-49CF-AC5A-7981BA10AD44}"/>
              </a:ext>
            </a:extLst>
          </xdr:cNvPr>
          <xdr:cNvSpPr txBox="1"/>
        </xdr:nvSpPr>
        <xdr:spPr>
          <a:xfrm>
            <a:off x="8904817" y="6175523"/>
            <a:ext cx="465670" cy="252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latin typeface="Agency FB" panose="020B0503020202020204" pitchFamily="34" charset="0"/>
                <a:ea typeface="Cambria" panose="02040503050406030204" pitchFamily="18" charset="0"/>
              </a:rPr>
              <a:t>75%</a:t>
            </a:r>
          </a:p>
        </xdr:txBody>
      </xdr:sp>
      <xdr:sp macro="" textlink="">
        <xdr:nvSpPr>
          <xdr:cNvPr id="133" name="TextBox 132">
            <a:extLst>
              <a:ext uri="{FF2B5EF4-FFF2-40B4-BE49-F238E27FC236}">
                <a16:creationId xmlns:a16="http://schemas.microsoft.com/office/drawing/2014/main" id="{DC2F201E-9F10-4839-9681-F7F62A71EC34}"/>
              </a:ext>
            </a:extLst>
          </xdr:cNvPr>
          <xdr:cNvSpPr txBox="1"/>
        </xdr:nvSpPr>
        <xdr:spPr>
          <a:xfrm>
            <a:off x="9143998" y="7049707"/>
            <a:ext cx="465670" cy="252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latin typeface="Agency FB" panose="020B0503020202020204" pitchFamily="34" charset="0"/>
                <a:ea typeface="Cambria" panose="02040503050406030204" pitchFamily="18" charset="0"/>
              </a:rPr>
              <a:t>100%</a:t>
            </a:r>
          </a:p>
        </xdr:txBody>
      </xdr:sp>
    </xdr:grpSp>
    <xdr:clientData/>
  </xdr:twoCellAnchor>
  <xdr:twoCellAnchor editAs="absolute">
    <xdr:from>
      <xdr:col>13</xdr:col>
      <xdr:colOff>104776</xdr:colOff>
      <xdr:row>11</xdr:row>
      <xdr:rowOff>64559</xdr:rowOff>
    </xdr:from>
    <xdr:to>
      <xdr:col>13</xdr:col>
      <xdr:colOff>2788710</xdr:colOff>
      <xdr:row>12</xdr:row>
      <xdr:rowOff>131795</xdr:rowOff>
    </xdr:to>
    <xdr:sp macro="" textlink="">
      <xdr:nvSpPr>
        <xdr:cNvPr id="134" name="Rectangle: Rounded Corners 133">
          <a:extLst>
            <a:ext uri="{FF2B5EF4-FFF2-40B4-BE49-F238E27FC236}">
              <a16:creationId xmlns:a16="http://schemas.microsoft.com/office/drawing/2014/main" id="{CF511D6E-B063-4B43-A3C4-CF18E920A9B2}"/>
            </a:ext>
          </a:extLst>
        </xdr:cNvPr>
        <xdr:cNvSpPr>
          <a:spLocks noChangeAspect="1"/>
        </xdr:cNvSpPr>
      </xdr:nvSpPr>
      <xdr:spPr>
        <a:xfrm>
          <a:off x="9989609" y="2160059"/>
          <a:ext cx="2683934" cy="257736"/>
        </a:xfrm>
        <a:prstGeom prst="roundRect">
          <a:avLst/>
        </a:prstGeom>
        <a:solidFill>
          <a:srgbClr val="70AD47"/>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13</xdr:col>
      <xdr:colOff>1238250</xdr:colOff>
      <xdr:row>8</xdr:row>
      <xdr:rowOff>95249</xdr:rowOff>
    </xdr:from>
    <xdr:to>
      <xdr:col>13</xdr:col>
      <xdr:colOff>1672167</xdr:colOff>
      <xdr:row>10</xdr:row>
      <xdr:rowOff>2249</xdr:rowOff>
    </xdr:to>
    <xdr:sp macro="" textlink="Workings!I4">
      <xdr:nvSpPr>
        <xdr:cNvPr id="76" name="TextBox 75">
          <a:extLst>
            <a:ext uri="{FF2B5EF4-FFF2-40B4-BE49-F238E27FC236}">
              <a16:creationId xmlns:a16="http://schemas.microsoft.com/office/drawing/2014/main" id="{08F7026D-C425-40DD-B55D-CE5BF32DD032}"/>
            </a:ext>
          </a:extLst>
        </xdr:cNvPr>
        <xdr:cNvSpPr txBox="1">
          <a:spLocks noChangeAspect="1"/>
        </xdr:cNvSpPr>
      </xdr:nvSpPr>
      <xdr:spPr>
        <a:xfrm>
          <a:off x="11123083" y="1619249"/>
          <a:ext cx="433917"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85C1D9-155C-4640-B9AE-1344AE6CC552}" type="TxLink">
            <a:rPr lang="en-US" sz="900" b="0" i="0" u="none" strike="noStrike">
              <a:solidFill>
                <a:schemeClr val="bg1"/>
              </a:solidFill>
              <a:latin typeface="Calibri"/>
              <a:cs typeface="Calibri"/>
            </a:rPr>
            <a:pPr algn="ctr"/>
            <a:t>50%</a:t>
          </a:fld>
          <a:endParaRPr lang="en-IN" sz="1050" b="0">
            <a:solidFill>
              <a:schemeClr val="bg1"/>
            </a:solidFill>
          </a:endParaRPr>
        </a:p>
      </xdr:txBody>
    </xdr:sp>
    <xdr:clientData/>
  </xdr:twoCellAnchor>
  <xdr:twoCellAnchor editAs="absolute">
    <xdr:from>
      <xdr:col>13</xdr:col>
      <xdr:colOff>116418</xdr:colOff>
      <xdr:row>11</xdr:row>
      <xdr:rowOff>74083</xdr:rowOff>
    </xdr:from>
    <xdr:to>
      <xdr:col>13</xdr:col>
      <xdr:colOff>2783418</xdr:colOff>
      <xdr:row>12</xdr:row>
      <xdr:rowOff>116417</xdr:rowOff>
    </xdr:to>
    <xdr:sp macro="" textlink="">
      <xdr:nvSpPr>
        <xdr:cNvPr id="98" name="TextBox 97">
          <a:extLst>
            <a:ext uri="{FF2B5EF4-FFF2-40B4-BE49-F238E27FC236}">
              <a16:creationId xmlns:a16="http://schemas.microsoft.com/office/drawing/2014/main" id="{E57D100E-F81C-40FA-B610-C14476C0984B}"/>
            </a:ext>
          </a:extLst>
        </xdr:cNvPr>
        <xdr:cNvSpPr txBox="1">
          <a:spLocks noChangeAspect="1"/>
        </xdr:cNvSpPr>
      </xdr:nvSpPr>
      <xdr:spPr>
        <a:xfrm>
          <a:off x="10001251" y="2169583"/>
          <a:ext cx="2667000" cy="232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solidFill>
                <a:schemeClr val="bg1"/>
              </a:solidFill>
              <a:latin typeface="Stencil" panose="040409050D0802020404" pitchFamily="82" charset="0"/>
              <a:cs typeface="Arabic Typesetting" panose="03020402040406030203" pitchFamily="66" charset="-78"/>
            </a:rPr>
            <a:t>Good</a:t>
          </a:r>
        </a:p>
      </xdr:txBody>
    </xdr:sp>
    <xdr:clientData/>
  </xdr:twoCellAnchor>
  <xdr:twoCellAnchor editAs="absolute">
    <xdr:from>
      <xdr:col>11</xdr:col>
      <xdr:colOff>0</xdr:colOff>
      <xdr:row>0</xdr:row>
      <xdr:rowOff>42333</xdr:rowOff>
    </xdr:from>
    <xdr:to>
      <xdr:col>11</xdr:col>
      <xdr:colOff>2995083</xdr:colOff>
      <xdr:row>1</xdr:row>
      <xdr:rowOff>158751</xdr:rowOff>
    </xdr:to>
    <xdr:sp macro="" textlink="">
      <xdr:nvSpPr>
        <xdr:cNvPr id="99" name="Rectangle 98">
          <a:extLst>
            <a:ext uri="{FF2B5EF4-FFF2-40B4-BE49-F238E27FC236}">
              <a16:creationId xmlns:a16="http://schemas.microsoft.com/office/drawing/2014/main" id="{D037C584-8EB9-42B5-BFA2-9ADB62605A69}"/>
            </a:ext>
          </a:extLst>
        </xdr:cNvPr>
        <xdr:cNvSpPr>
          <a:spLocks noChangeAspect="1"/>
        </xdr:cNvSpPr>
      </xdr:nvSpPr>
      <xdr:spPr>
        <a:xfrm>
          <a:off x="6731000" y="42333"/>
          <a:ext cx="2995083" cy="306918"/>
        </a:xfrm>
        <a:prstGeom prst="rect">
          <a:avLst/>
        </a:prstGeom>
        <a:solidFill>
          <a:srgbClr val="00823B"/>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Stencil" panose="040409050D0802020404" pitchFamily="82" charset="0"/>
            </a:rPr>
            <a:t>Collection % By Location</a:t>
          </a:r>
        </a:p>
      </xdr:txBody>
    </xdr:sp>
    <xdr:clientData/>
  </xdr:twoCellAnchor>
  <xdr:twoCellAnchor editAs="absolute">
    <xdr:from>
      <xdr:col>0</xdr:col>
      <xdr:colOff>10583</xdr:colOff>
      <xdr:row>0</xdr:row>
      <xdr:rowOff>148169</xdr:rowOff>
    </xdr:from>
    <xdr:to>
      <xdr:col>3</xdr:col>
      <xdr:colOff>10583</xdr:colOff>
      <xdr:row>2</xdr:row>
      <xdr:rowOff>158753</xdr:rowOff>
    </xdr:to>
    <xdr:sp macro="" textlink="">
      <xdr:nvSpPr>
        <xdr:cNvPr id="4" name="Rectangle: Rounded Corners 3">
          <a:extLst>
            <a:ext uri="{FF2B5EF4-FFF2-40B4-BE49-F238E27FC236}">
              <a16:creationId xmlns:a16="http://schemas.microsoft.com/office/drawing/2014/main" id="{0EA1F624-2725-4954-BD5A-6B8195141DF4}"/>
            </a:ext>
          </a:extLst>
        </xdr:cNvPr>
        <xdr:cNvSpPr>
          <a:spLocks noChangeAspect="1"/>
        </xdr:cNvSpPr>
      </xdr:nvSpPr>
      <xdr:spPr>
        <a:xfrm>
          <a:off x="10583" y="148169"/>
          <a:ext cx="2032000" cy="391584"/>
        </a:xfrm>
        <a:prstGeom prst="roundRect">
          <a:avLst/>
        </a:prstGeom>
        <a:solidFill>
          <a:srgbClr val="FFCC00"/>
        </a:solidFill>
        <a:ln w="285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0">
              <a:solidFill>
                <a:schemeClr val="tx1"/>
              </a:solidFill>
              <a:latin typeface="Stencil" panose="040409050D0802020404" pitchFamily="82" charset="0"/>
            </a:rPr>
            <a:t>ULTRATECH</a:t>
          </a:r>
        </a:p>
      </xdr:txBody>
    </xdr:sp>
    <xdr:clientData/>
  </xdr:twoCellAnchor>
  <xdr:twoCellAnchor editAs="absolute">
    <xdr:from>
      <xdr:col>0</xdr:col>
      <xdr:colOff>10584</xdr:colOff>
      <xdr:row>7</xdr:row>
      <xdr:rowOff>42325</xdr:rowOff>
    </xdr:from>
    <xdr:to>
      <xdr:col>3</xdr:col>
      <xdr:colOff>10584</xdr:colOff>
      <xdr:row>8</xdr:row>
      <xdr:rowOff>116417</xdr:rowOff>
    </xdr:to>
    <xdr:sp macro="" textlink="">
      <xdr:nvSpPr>
        <xdr:cNvPr id="141" name="Rectangle: Rounded Corners 140">
          <a:extLst>
            <a:ext uri="{FF2B5EF4-FFF2-40B4-BE49-F238E27FC236}">
              <a16:creationId xmlns:a16="http://schemas.microsoft.com/office/drawing/2014/main" id="{AA30D920-67AE-4D8E-B60E-DF76EDF4A03D}"/>
            </a:ext>
          </a:extLst>
        </xdr:cNvPr>
        <xdr:cNvSpPr>
          <a:spLocks noChangeAspect="1"/>
        </xdr:cNvSpPr>
      </xdr:nvSpPr>
      <xdr:spPr>
        <a:xfrm>
          <a:off x="10584" y="1375825"/>
          <a:ext cx="2032000" cy="264592"/>
        </a:xfrm>
        <a:prstGeom prst="roundRect">
          <a:avLst/>
        </a:prstGeom>
        <a:solidFill>
          <a:srgbClr val="253917"/>
        </a:solidFill>
        <a:ln w="285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0">
              <a:solidFill>
                <a:schemeClr val="bg1"/>
              </a:solidFill>
              <a:latin typeface="Stencil" panose="040409050D0802020404" pitchFamily="82" charset="0"/>
            </a:rPr>
            <a:t>SALES DASHBOARD</a:t>
          </a:r>
        </a:p>
      </xdr:txBody>
    </xdr:sp>
    <xdr:clientData/>
  </xdr:twoCellAnchor>
  <xdr:twoCellAnchor editAs="absolute">
    <xdr:from>
      <xdr:col>11</xdr:col>
      <xdr:colOff>9525</xdr:colOff>
      <xdr:row>2</xdr:row>
      <xdr:rowOff>0</xdr:rowOff>
    </xdr:from>
    <xdr:to>
      <xdr:col>12</xdr:col>
      <xdr:colOff>1126</xdr:colOff>
      <xdr:row>24</xdr:row>
      <xdr:rowOff>14317</xdr:rowOff>
    </xdr:to>
    <xdr:graphicFrame macro="">
      <xdr:nvGraphicFramePr>
        <xdr:cNvPr id="117" name="Chart 116">
          <a:extLst>
            <a:ext uri="{FF2B5EF4-FFF2-40B4-BE49-F238E27FC236}">
              <a16:creationId xmlns:a16="http://schemas.microsoft.com/office/drawing/2014/main" id="{782BEE3D-9CEF-4C30-B8B7-E123BBE056C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11</xdr:col>
      <xdr:colOff>7936</xdr:colOff>
      <xdr:row>1</xdr:row>
      <xdr:rowOff>180975</xdr:rowOff>
    </xdr:from>
    <xdr:to>
      <xdr:col>12</xdr:col>
      <xdr:colOff>21166</xdr:colOff>
      <xdr:row>24</xdr:row>
      <xdr:rowOff>42334</xdr:rowOff>
    </xdr:to>
    <xdr:graphicFrame macro="">
      <xdr:nvGraphicFramePr>
        <xdr:cNvPr id="116" name="Chart 115">
          <a:extLst>
            <a:ext uri="{FF2B5EF4-FFF2-40B4-BE49-F238E27FC236}">
              <a16:creationId xmlns:a16="http://schemas.microsoft.com/office/drawing/2014/main" id="{3B780B2E-2F7A-4BEE-BA53-308C202116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381002</xdr:colOff>
      <xdr:row>24</xdr:row>
      <xdr:rowOff>21166</xdr:rowOff>
    </xdr:from>
    <xdr:to>
      <xdr:col>11</xdr:col>
      <xdr:colOff>2996141</xdr:colOff>
      <xdr:row>25</xdr:row>
      <xdr:rowOff>137584</xdr:rowOff>
    </xdr:to>
    <xdr:grpSp>
      <xdr:nvGrpSpPr>
        <xdr:cNvPr id="137" name="Group 136">
          <a:extLst>
            <a:ext uri="{FF2B5EF4-FFF2-40B4-BE49-F238E27FC236}">
              <a16:creationId xmlns:a16="http://schemas.microsoft.com/office/drawing/2014/main" id="{CC5DAFC2-529B-4CB9-AC2F-EA1E6F24F502}"/>
            </a:ext>
          </a:extLst>
        </xdr:cNvPr>
        <xdr:cNvGrpSpPr>
          <a:grpSpLocks noChangeAspect="1"/>
        </xdr:cNvGrpSpPr>
      </xdr:nvGrpSpPr>
      <xdr:grpSpPr>
        <a:xfrm>
          <a:off x="6631783" y="4676510"/>
          <a:ext cx="3019952" cy="306918"/>
          <a:chOff x="6699252" y="4667249"/>
          <a:chExt cx="3027889" cy="306918"/>
        </a:xfrm>
      </xdr:grpSpPr>
      <xdr:sp macro="" textlink="">
        <xdr:nvSpPr>
          <xdr:cNvPr id="136" name="Rectangle 135">
            <a:extLst>
              <a:ext uri="{FF2B5EF4-FFF2-40B4-BE49-F238E27FC236}">
                <a16:creationId xmlns:a16="http://schemas.microsoft.com/office/drawing/2014/main" id="{E65472B9-467C-4D69-9337-08AA56E4552E}"/>
              </a:ext>
            </a:extLst>
          </xdr:cNvPr>
          <xdr:cNvSpPr/>
        </xdr:nvSpPr>
        <xdr:spPr>
          <a:xfrm>
            <a:off x="6741583" y="4667249"/>
            <a:ext cx="2985558" cy="306918"/>
          </a:xfrm>
          <a:prstGeom prst="rect">
            <a:avLst/>
          </a:prstGeom>
          <a:solidFill>
            <a:srgbClr val="FF0000"/>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solidFill>
                <a:schemeClr val="bg1"/>
              </a:solidFill>
              <a:latin typeface="Stencil" panose="040409050D0802020404" pitchFamily="82" charset="0"/>
            </a:endParaRPr>
          </a:p>
        </xdr:txBody>
      </xdr:sp>
      <xdr:sp macro="" textlink="">
        <xdr:nvSpPr>
          <xdr:cNvPr id="135" name="TextBox 134">
            <a:extLst>
              <a:ext uri="{FF2B5EF4-FFF2-40B4-BE49-F238E27FC236}">
                <a16:creationId xmlns:a16="http://schemas.microsoft.com/office/drawing/2014/main" id="{970CC90F-B8F7-47AB-9439-486076DF63A4}"/>
              </a:ext>
            </a:extLst>
          </xdr:cNvPr>
          <xdr:cNvSpPr txBox="1"/>
        </xdr:nvSpPr>
        <xdr:spPr>
          <a:xfrm>
            <a:off x="6699252" y="4672552"/>
            <a:ext cx="994833"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latin typeface="Cambria" panose="02040503050406030204" pitchFamily="18" charset="0"/>
                <a:ea typeface="Cambria" panose="02040503050406030204" pitchFamily="18" charset="0"/>
                <a:cs typeface="Calibri" panose="020F0502020204030204" pitchFamily="34" charset="0"/>
              </a:rPr>
              <a:t>Basundhara</a:t>
            </a:r>
          </a:p>
        </xdr:txBody>
      </xdr:sp>
      <xdr:sp macro="" textlink="">
        <xdr:nvSpPr>
          <xdr:cNvPr id="138" name="TextBox 137">
            <a:extLst>
              <a:ext uri="{FF2B5EF4-FFF2-40B4-BE49-F238E27FC236}">
                <a16:creationId xmlns:a16="http://schemas.microsoft.com/office/drawing/2014/main" id="{B1370F52-D17C-4E03-B36B-6E42AB93488C}"/>
              </a:ext>
            </a:extLst>
          </xdr:cNvPr>
          <xdr:cNvSpPr txBox="1"/>
        </xdr:nvSpPr>
        <xdr:spPr>
          <a:xfrm>
            <a:off x="7552968" y="4672552"/>
            <a:ext cx="754945"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latin typeface="Cambria" panose="02040503050406030204" pitchFamily="18" charset="0"/>
                <a:ea typeface="Cambria" panose="02040503050406030204" pitchFamily="18" charset="0"/>
                <a:cs typeface="Calibri" panose="020F0502020204030204" pitchFamily="34" charset="0"/>
              </a:rPr>
              <a:t>Gulshan</a:t>
            </a:r>
          </a:p>
        </xdr:txBody>
      </xdr:sp>
      <xdr:sp macro="" textlink="">
        <xdr:nvSpPr>
          <xdr:cNvPr id="139" name="TextBox 138">
            <a:extLst>
              <a:ext uri="{FF2B5EF4-FFF2-40B4-BE49-F238E27FC236}">
                <a16:creationId xmlns:a16="http://schemas.microsoft.com/office/drawing/2014/main" id="{9FDB636F-43C7-4502-8E34-60CB39DE3883}"/>
              </a:ext>
            </a:extLst>
          </xdr:cNvPr>
          <xdr:cNvSpPr txBox="1"/>
        </xdr:nvSpPr>
        <xdr:spPr>
          <a:xfrm>
            <a:off x="8279691" y="4672552"/>
            <a:ext cx="645584"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latin typeface="Cambria" panose="02040503050406030204" pitchFamily="18" charset="0"/>
                <a:ea typeface="Cambria" panose="02040503050406030204" pitchFamily="18" charset="0"/>
                <a:cs typeface="Calibri" panose="020F0502020204030204" pitchFamily="34" charset="0"/>
              </a:rPr>
              <a:t>Mirpur</a:t>
            </a:r>
          </a:p>
        </xdr:txBody>
      </xdr:sp>
      <xdr:sp macro="" textlink="">
        <xdr:nvSpPr>
          <xdr:cNvPr id="140" name="TextBox 139">
            <a:extLst>
              <a:ext uri="{FF2B5EF4-FFF2-40B4-BE49-F238E27FC236}">
                <a16:creationId xmlns:a16="http://schemas.microsoft.com/office/drawing/2014/main" id="{4DAB092B-B169-47D3-B796-CE6B8186726C}"/>
              </a:ext>
            </a:extLst>
          </xdr:cNvPr>
          <xdr:cNvSpPr txBox="1"/>
        </xdr:nvSpPr>
        <xdr:spPr>
          <a:xfrm>
            <a:off x="8964082" y="4672552"/>
            <a:ext cx="645584"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latin typeface="Cambria" panose="02040503050406030204" pitchFamily="18" charset="0"/>
                <a:ea typeface="Cambria" panose="02040503050406030204" pitchFamily="18" charset="0"/>
                <a:cs typeface="Calibri" panose="020F0502020204030204" pitchFamily="34" charset="0"/>
              </a:rPr>
              <a:t>Uttara</a:t>
            </a: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0.07309</cdr:x>
      <cdr:y>0.96143</cdr:y>
    </cdr:from>
    <cdr:to>
      <cdr:x>0.9212</cdr:x>
      <cdr:y>0.96281</cdr:y>
    </cdr:to>
    <cdr:cxnSp macro="">
      <cdr:nvCxnSpPr>
        <cdr:cNvPr id="4" name="Straight Connector 3">
          <a:extLst xmlns:a="http://schemas.openxmlformats.org/drawingml/2006/main">
            <a:ext uri="{FF2B5EF4-FFF2-40B4-BE49-F238E27FC236}">
              <a16:creationId xmlns:a16="http://schemas.microsoft.com/office/drawing/2014/main" id="{BE9BA775-412C-472C-94AC-A232342A61AE}"/>
            </a:ext>
          </a:extLst>
        </cdr:cNvPr>
        <cdr:cNvCxnSpPr/>
      </cdr:nvCxnSpPr>
      <cdr:spPr>
        <a:xfrm xmlns:a="http://schemas.openxmlformats.org/drawingml/2006/main" flipV="1">
          <a:off x="218890" y="4118547"/>
          <a:ext cx="2539901" cy="5912"/>
        </a:xfrm>
        <a:prstGeom xmlns:a="http://schemas.openxmlformats.org/drawingml/2006/main" prst="line">
          <a:avLst/>
        </a:prstGeom>
        <a:ln xmlns:a="http://schemas.openxmlformats.org/drawingml/2006/main" w="28575">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xdr:twoCellAnchor editAs="oneCell">
    <xdr:from>
      <xdr:col>4</xdr:col>
      <xdr:colOff>261408</xdr:colOff>
      <xdr:row>33</xdr:row>
      <xdr:rowOff>126471</xdr:rowOff>
    </xdr:from>
    <xdr:to>
      <xdr:col>7</xdr:col>
      <xdr:colOff>146803</xdr:colOff>
      <xdr:row>49</xdr:row>
      <xdr:rowOff>179696</xdr:rowOff>
    </xdr:to>
    <xdr:pic>
      <xdr:nvPicPr>
        <xdr:cNvPr id="12" name="Picture 11">
          <a:extLst>
            <a:ext uri="{FF2B5EF4-FFF2-40B4-BE49-F238E27FC236}">
              <a16:creationId xmlns:a16="http://schemas.microsoft.com/office/drawing/2014/main" id="{E23AE4C6-9EDC-414D-BBDA-202A03E21A8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3245908" y="5873221"/>
          <a:ext cx="1695145" cy="3101225"/>
        </a:xfrm>
        <a:prstGeom prst="rect">
          <a:avLst/>
        </a:prstGeom>
      </xdr:spPr>
    </xdr:pic>
    <xdr:clientData/>
  </xdr:twoCellAnchor>
  <xdr:twoCellAnchor>
    <xdr:from>
      <xdr:col>8</xdr:col>
      <xdr:colOff>708025</xdr:colOff>
      <xdr:row>33</xdr:row>
      <xdr:rowOff>63499</xdr:rowOff>
    </xdr:from>
    <xdr:to>
      <xdr:col>11</xdr:col>
      <xdr:colOff>592668</xdr:colOff>
      <xdr:row>50</xdr:row>
      <xdr:rowOff>63500</xdr:rowOff>
    </xdr:to>
    <xdr:grpSp>
      <xdr:nvGrpSpPr>
        <xdr:cNvPr id="43" name="Group 42">
          <a:extLst>
            <a:ext uri="{FF2B5EF4-FFF2-40B4-BE49-F238E27FC236}">
              <a16:creationId xmlns:a16="http://schemas.microsoft.com/office/drawing/2014/main" id="{D64CD994-599B-48B0-944F-6A8E20D1C018}"/>
            </a:ext>
          </a:extLst>
        </xdr:cNvPr>
        <xdr:cNvGrpSpPr/>
      </xdr:nvGrpSpPr>
      <xdr:grpSpPr>
        <a:xfrm>
          <a:off x="7005108" y="5810249"/>
          <a:ext cx="2805643" cy="3238501"/>
          <a:chOff x="6804025" y="5683249"/>
          <a:chExt cx="2805643" cy="2698751"/>
        </a:xfrm>
      </xdr:grpSpPr>
      <xdr:sp macro="" textlink="">
        <xdr:nvSpPr>
          <xdr:cNvPr id="21" name="Chord 20">
            <a:extLst>
              <a:ext uri="{FF2B5EF4-FFF2-40B4-BE49-F238E27FC236}">
                <a16:creationId xmlns:a16="http://schemas.microsoft.com/office/drawing/2014/main" id="{BBB66EFF-1634-4C36-8A1E-FD77B3F35B4A}"/>
              </a:ext>
            </a:extLst>
          </xdr:cNvPr>
          <xdr:cNvSpPr/>
        </xdr:nvSpPr>
        <xdr:spPr>
          <a:xfrm>
            <a:off x="6804025" y="5683249"/>
            <a:ext cx="2743200" cy="2698751"/>
          </a:xfrm>
          <a:prstGeom prst="chord">
            <a:avLst>
              <a:gd name="adj1" fmla="val 9605193"/>
              <a:gd name="adj2" fmla="val 1196340"/>
            </a:avLst>
          </a:prstGeom>
          <a:gradFill>
            <a:gsLst>
              <a:gs pos="20000">
                <a:schemeClr val="bg1"/>
              </a:gs>
              <a:gs pos="60000">
                <a:schemeClr val="bg1">
                  <a:lumMod val="65000"/>
                </a:schemeClr>
              </a:gs>
              <a:gs pos="100000">
                <a:schemeClr val="tx1">
                  <a:lumMod val="50000"/>
                  <a:lumOff val="50000"/>
                </a:schemeClr>
              </a:gs>
            </a:gsLst>
            <a:lin ang="1800000" scaled="0"/>
          </a:gradFill>
          <a:ln w="762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4" name="Chord 23">
            <a:extLst>
              <a:ext uri="{FF2B5EF4-FFF2-40B4-BE49-F238E27FC236}">
                <a16:creationId xmlns:a16="http://schemas.microsoft.com/office/drawing/2014/main" id="{5EFE8740-739B-4318-B9BB-A0DC1E363CD0}"/>
              </a:ext>
            </a:extLst>
          </xdr:cNvPr>
          <xdr:cNvSpPr/>
        </xdr:nvSpPr>
        <xdr:spPr>
          <a:xfrm>
            <a:off x="7154912" y="5979583"/>
            <a:ext cx="2041427" cy="2291879"/>
          </a:xfrm>
          <a:prstGeom prst="chord">
            <a:avLst>
              <a:gd name="adj1" fmla="val 9616337"/>
              <a:gd name="adj2" fmla="val 1270023"/>
            </a:avLst>
          </a:prstGeom>
          <a:gradFill>
            <a:gsLst>
              <a:gs pos="20000">
                <a:schemeClr val="bg1"/>
              </a:gs>
              <a:gs pos="60000">
                <a:schemeClr val="bg1">
                  <a:lumMod val="65000"/>
                </a:schemeClr>
              </a:gs>
              <a:gs pos="100000">
                <a:schemeClr val="tx1">
                  <a:lumMod val="50000"/>
                  <a:lumOff val="50000"/>
                </a:schemeClr>
              </a:gs>
            </a:gsLst>
            <a:lin ang="6600000" scaled="0"/>
          </a:gra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 name="Chord 24">
            <a:extLst>
              <a:ext uri="{FF2B5EF4-FFF2-40B4-BE49-F238E27FC236}">
                <a16:creationId xmlns:a16="http://schemas.microsoft.com/office/drawing/2014/main" id="{72EEA72A-952D-491C-AB9B-9193DF923770}"/>
              </a:ext>
            </a:extLst>
          </xdr:cNvPr>
          <xdr:cNvSpPr/>
        </xdr:nvSpPr>
        <xdr:spPr>
          <a:xfrm>
            <a:off x="7239875" y="6092830"/>
            <a:ext cx="1871500" cy="2101105"/>
          </a:xfrm>
          <a:prstGeom prst="chord">
            <a:avLst>
              <a:gd name="adj1" fmla="val 9551722"/>
              <a:gd name="adj2" fmla="val 1267033"/>
            </a:avLst>
          </a:prstGeom>
          <a:gradFill>
            <a:gsLst>
              <a:gs pos="0">
                <a:srgbClr val="FFC000"/>
              </a:gs>
              <a:gs pos="100000">
                <a:schemeClr val="accent2"/>
              </a:gs>
            </a:gsLst>
            <a:lin ang="6600000" scaled="0"/>
          </a:gradFill>
          <a:ln w="38100">
            <a:noFill/>
          </a:ln>
          <a:effectLst>
            <a:innerShdw blurRad="254000">
              <a:prstClr val="black">
                <a:alpha val="9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6" name="Chart 25">
            <a:extLst>
              <a:ext uri="{FF2B5EF4-FFF2-40B4-BE49-F238E27FC236}">
                <a16:creationId xmlns:a16="http://schemas.microsoft.com/office/drawing/2014/main" id="{8C079650-99F2-4239-BD2F-0FF18268235A}"/>
              </a:ext>
            </a:extLst>
          </xdr:cNvPr>
          <xdr:cNvGraphicFramePr/>
        </xdr:nvGraphicFramePr>
        <xdr:xfrm>
          <a:off x="6850062" y="6369048"/>
          <a:ext cx="2672293" cy="1603376"/>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27" name="Oval 26">
            <a:extLst>
              <a:ext uri="{FF2B5EF4-FFF2-40B4-BE49-F238E27FC236}">
                <a16:creationId xmlns:a16="http://schemas.microsoft.com/office/drawing/2014/main" id="{CE5B4038-4E93-41F4-84DB-13AA36B71B14}"/>
              </a:ext>
            </a:extLst>
          </xdr:cNvPr>
          <xdr:cNvSpPr/>
        </xdr:nvSpPr>
        <xdr:spPr>
          <a:xfrm>
            <a:off x="8038042" y="7027330"/>
            <a:ext cx="296333" cy="296333"/>
          </a:xfrm>
          <a:prstGeom prst="ellipse">
            <a:avLst/>
          </a:prstGeom>
          <a:solidFill>
            <a:schemeClr val="bg1">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31" name="Straight Connector 30">
            <a:extLst>
              <a:ext uri="{FF2B5EF4-FFF2-40B4-BE49-F238E27FC236}">
                <a16:creationId xmlns:a16="http://schemas.microsoft.com/office/drawing/2014/main" id="{F254BD08-A336-45E9-AE35-E8D0BD624C89}"/>
              </a:ext>
            </a:extLst>
          </xdr:cNvPr>
          <xdr:cNvCxnSpPr/>
        </xdr:nvCxnSpPr>
        <xdr:spPr>
          <a:xfrm>
            <a:off x="7344836" y="7164921"/>
            <a:ext cx="1080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2" name="Straight Connector 31">
            <a:extLst>
              <a:ext uri="{FF2B5EF4-FFF2-40B4-BE49-F238E27FC236}">
                <a16:creationId xmlns:a16="http://schemas.microsoft.com/office/drawing/2014/main" id="{DB4AFD54-3705-47E3-97E7-1EF49F9A8623}"/>
              </a:ext>
            </a:extLst>
          </xdr:cNvPr>
          <xdr:cNvCxnSpPr/>
        </xdr:nvCxnSpPr>
        <xdr:spPr>
          <a:xfrm>
            <a:off x="8900594" y="7164921"/>
            <a:ext cx="1080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78279953-971E-4771-930C-9DBAB15D69B5}"/>
              </a:ext>
            </a:extLst>
          </xdr:cNvPr>
          <xdr:cNvCxnSpPr/>
        </xdr:nvCxnSpPr>
        <xdr:spPr>
          <a:xfrm rot="16200000">
            <a:off x="8128011" y="6286504"/>
            <a:ext cx="1080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A34558B3-F09F-47C0-A4CE-5F470E1A7DC9}"/>
              </a:ext>
            </a:extLst>
          </xdr:cNvPr>
          <xdr:cNvCxnSpPr/>
        </xdr:nvCxnSpPr>
        <xdr:spPr>
          <a:xfrm rot="19200000">
            <a:off x="8724912" y="6576485"/>
            <a:ext cx="1080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8C4F3319-68CE-4A34-954F-121C53DF639E}"/>
              </a:ext>
            </a:extLst>
          </xdr:cNvPr>
          <xdr:cNvCxnSpPr/>
        </xdr:nvCxnSpPr>
        <xdr:spPr>
          <a:xfrm rot="13320000">
            <a:off x="7540248" y="6579442"/>
            <a:ext cx="108000"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37" name="TextBox 36">
            <a:extLst>
              <a:ext uri="{FF2B5EF4-FFF2-40B4-BE49-F238E27FC236}">
                <a16:creationId xmlns:a16="http://schemas.microsoft.com/office/drawing/2014/main" id="{C4A0746F-9EB1-4B68-8843-459A3E577CD9}"/>
              </a:ext>
            </a:extLst>
          </xdr:cNvPr>
          <xdr:cNvSpPr txBox="1"/>
        </xdr:nvSpPr>
        <xdr:spPr>
          <a:xfrm>
            <a:off x="6826250" y="7049706"/>
            <a:ext cx="465670" cy="252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latin typeface="Agency FB" panose="020B0503020202020204" pitchFamily="34" charset="0"/>
                <a:ea typeface="Cambria" panose="02040503050406030204" pitchFamily="18" charset="0"/>
              </a:rPr>
              <a:t>0%</a:t>
            </a:r>
          </a:p>
        </xdr:txBody>
      </xdr:sp>
      <xdr:sp macro="" textlink="">
        <xdr:nvSpPr>
          <xdr:cNvPr id="38" name="TextBox 37">
            <a:extLst>
              <a:ext uri="{FF2B5EF4-FFF2-40B4-BE49-F238E27FC236}">
                <a16:creationId xmlns:a16="http://schemas.microsoft.com/office/drawing/2014/main" id="{3C43A443-BAAD-482C-8891-B4D2D38E08A2}"/>
              </a:ext>
            </a:extLst>
          </xdr:cNvPr>
          <xdr:cNvSpPr txBox="1"/>
        </xdr:nvSpPr>
        <xdr:spPr>
          <a:xfrm>
            <a:off x="7020983" y="6228440"/>
            <a:ext cx="465670" cy="252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latin typeface="Agency FB" panose="020B0503020202020204" pitchFamily="34" charset="0"/>
                <a:ea typeface="Cambria" panose="02040503050406030204" pitchFamily="18" charset="0"/>
              </a:rPr>
              <a:t>25%</a:t>
            </a:r>
          </a:p>
        </xdr:txBody>
      </xdr:sp>
      <xdr:sp macro="" textlink="">
        <xdr:nvSpPr>
          <xdr:cNvPr id="39" name="TextBox 38">
            <a:extLst>
              <a:ext uri="{FF2B5EF4-FFF2-40B4-BE49-F238E27FC236}">
                <a16:creationId xmlns:a16="http://schemas.microsoft.com/office/drawing/2014/main" id="{5F19634D-55FD-4D02-83C9-540C6C016284}"/>
              </a:ext>
            </a:extLst>
          </xdr:cNvPr>
          <xdr:cNvSpPr txBox="1"/>
        </xdr:nvSpPr>
        <xdr:spPr>
          <a:xfrm>
            <a:off x="7962901" y="5731022"/>
            <a:ext cx="465670" cy="252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latin typeface="Agency FB" panose="020B0503020202020204" pitchFamily="34" charset="0"/>
                <a:ea typeface="Cambria" panose="02040503050406030204" pitchFamily="18" charset="0"/>
              </a:rPr>
              <a:t>50%</a:t>
            </a:r>
          </a:p>
        </xdr:txBody>
      </xdr:sp>
      <xdr:sp macro="" textlink="">
        <xdr:nvSpPr>
          <xdr:cNvPr id="40" name="TextBox 39">
            <a:extLst>
              <a:ext uri="{FF2B5EF4-FFF2-40B4-BE49-F238E27FC236}">
                <a16:creationId xmlns:a16="http://schemas.microsoft.com/office/drawing/2014/main" id="{A8D28491-B113-4A66-88C9-84ECC23C417B}"/>
              </a:ext>
            </a:extLst>
          </xdr:cNvPr>
          <xdr:cNvSpPr txBox="1"/>
        </xdr:nvSpPr>
        <xdr:spPr>
          <a:xfrm>
            <a:off x="8904817" y="6175523"/>
            <a:ext cx="465670" cy="252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latin typeface="Agency FB" panose="020B0503020202020204" pitchFamily="34" charset="0"/>
                <a:ea typeface="Cambria" panose="02040503050406030204" pitchFamily="18" charset="0"/>
              </a:rPr>
              <a:t>75%</a:t>
            </a:r>
          </a:p>
        </xdr:txBody>
      </xdr:sp>
      <xdr:sp macro="" textlink="">
        <xdr:nvSpPr>
          <xdr:cNvPr id="42" name="TextBox 41">
            <a:extLst>
              <a:ext uri="{FF2B5EF4-FFF2-40B4-BE49-F238E27FC236}">
                <a16:creationId xmlns:a16="http://schemas.microsoft.com/office/drawing/2014/main" id="{66F5D1A3-7C4F-4DCE-8F08-A11FB75304BA}"/>
              </a:ext>
            </a:extLst>
          </xdr:cNvPr>
          <xdr:cNvSpPr txBox="1"/>
        </xdr:nvSpPr>
        <xdr:spPr>
          <a:xfrm>
            <a:off x="9143998" y="7049707"/>
            <a:ext cx="465670" cy="252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latin typeface="Agency FB" panose="020B0503020202020204" pitchFamily="34" charset="0"/>
                <a:ea typeface="Cambria" panose="02040503050406030204" pitchFamily="18" charset="0"/>
              </a:rPr>
              <a:t>100%</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dip Roy Choudhury" refreshedDate="43956.932017939813" createdVersion="6" refreshedVersion="6" minRefreshableVersion="3" recordCount="1684" xr:uid="{8B3F440A-3E65-4F38-811F-D035C759433D}">
  <cacheSource type="worksheet">
    <worksheetSource name="Data"/>
  </cacheSource>
  <cacheFields count="8">
    <cacheField name="Date" numFmtId="14">
      <sharedItems containsSemiMixedTypes="0" containsNonDate="0" containsDate="1" containsString="0" minDate="2019-01-02T00:00:00" maxDate="2019-05-31T00:00:00"/>
    </cacheField>
    <cacheField name="Month Name" numFmtId="0">
      <sharedItems count="5">
        <s v="April"/>
        <s v="February"/>
        <s v="January"/>
        <s v="March"/>
        <s v="May"/>
      </sharedItems>
    </cacheField>
    <cacheField name="Location" numFmtId="0">
      <sharedItems count="4">
        <s v="Basundhara"/>
        <s v="Gulshan"/>
        <s v="Mirpur"/>
        <s v="Uttara"/>
      </sharedItems>
    </cacheField>
    <cacheField name="District" numFmtId="0">
      <sharedItems count="18">
        <s v="BANKURA"/>
        <s v="MIDNAPORE EAST WEST"/>
        <s v="SOUTH 24 PARGANAS"/>
        <s v="DARJEELING"/>
        <s v="KOLKATA"/>
        <s v="COCH BEHAR"/>
        <s v="NADIA"/>
        <s v="PURULIA"/>
        <s v="JALPAIGURI"/>
        <s v="BURDWAN"/>
        <s v="HOWRAH"/>
        <s v="NORTH 24 PARGANAS"/>
        <s v="HOOGHLY"/>
        <s v="MALDAH"/>
        <s v="MURSHIDABAD"/>
        <s v="UTTAR DINAJPUR"/>
        <s v="DAKSHIN DINAJPUR"/>
        <s v="BIRBHUM"/>
      </sharedItems>
    </cacheField>
    <cacheField name="Qty" numFmtId="0">
      <sharedItems containsSemiMixedTypes="0" containsString="0" containsNumber="1" containsInteger="1" minValue="4" maxValue="8821"/>
    </cacheField>
    <cacheField name="T Sale" numFmtId="0">
      <sharedItems containsSemiMixedTypes="0" containsString="0" containsNumber="1" containsInteger="1" minValue="2160" maxValue="4410350"/>
    </cacheField>
    <cacheField name="T Collection" numFmtId="0">
      <sharedItems containsSemiMixedTypes="0" containsString="0" containsNumber="1" containsInteger="1" minValue="0" maxValue="3241050"/>
    </cacheField>
    <cacheField name="Collection %" numFmtId="0" formula="'T Collection'/'T Sale'" databaseField="0"/>
  </cacheFields>
  <extLst>
    <ext xmlns:x14="http://schemas.microsoft.com/office/spreadsheetml/2009/9/main" uri="{725AE2AE-9491-48be-B2B4-4EB974FC3084}">
      <x14:pivotCacheDefinition pivotCacheId="684534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4">
  <r>
    <d v="2019-04-02T00:00:00"/>
    <x v="0"/>
    <x v="0"/>
    <x v="0"/>
    <n v="20"/>
    <n v="10160"/>
    <n v="0"/>
  </r>
  <r>
    <d v="2019-04-02T00:00:00"/>
    <x v="0"/>
    <x v="0"/>
    <x v="1"/>
    <n v="140"/>
    <n v="70065"/>
    <n v="0"/>
  </r>
  <r>
    <d v="2019-04-02T00:00:00"/>
    <x v="0"/>
    <x v="0"/>
    <x v="2"/>
    <n v="236"/>
    <n v="117760"/>
    <n v="0"/>
  </r>
  <r>
    <d v="2019-04-02T00:00:00"/>
    <x v="0"/>
    <x v="0"/>
    <x v="3"/>
    <n v="157"/>
    <n v="78400"/>
    <n v="0"/>
  </r>
  <r>
    <d v="2019-04-02T00:00:00"/>
    <x v="0"/>
    <x v="0"/>
    <x v="4"/>
    <n v="319"/>
    <n v="159421"/>
    <n v="0"/>
  </r>
  <r>
    <d v="2019-04-03T00:00:00"/>
    <x v="0"/>
    <x v="0"/>
    <x v="2"/>
    <n v="61"/>
    <n v="30450"/>
    <n v="0"/>
  </r>
  <r>
    <d v="2019-04-03T00:00:00"/>
    <x v="0"/>
    <x v="0"/>
    <x v="0"/>
    <n v="33"/>
    <n v="16269"/>
    <n v="2000000"/>
  </r>
  <r>
    <d v="2019-04-03T00:00:00"/>
    <x v="0"/>
    <x v="0"/>
    <x v="5"/>
    <n v="459"/>
    <n v="229609"/>
    <n v="150000"/>
  </r>
  <r>
    <d v="2019-04-04T00:00:00"/>
    <x v="0"/>
    <x v="0"/>
    <x v="3"/>
    <n v="307"/>
    <n v="153627"/>
    <n v="50000"/>
  </r>
  <r>
    <d v="2019-04-04T00:00:00"/>
    <x v="0"/>
    <x v="0"/>
    <x v="6"/>
    <n v="416"/>
    <n v="208034"/>
    <n v="0"/>
  </r>
  <r>
    <d v="2019-04-04T00:00:00"/>
    <x v="0"/>
    <x v="0"/>
    <x v="1"/>
    <n v="161"/>
    <n v="80645"/>
    <n v="30000"/>
  </r>
  <r>
    <d v="2019-04-05T00:00:00"/>
    <x v="0"/>
    <x v="0"/>
    <x v="0"/>
    <n v="101"/>
    <n v="50470"/>
    <n v="40000"/>
  </r>
  <r>
    <d v="2019-04-05T00:00:00"/>
    <x v="0"/>
    <x v="0"/>
    <x v="7"/>
    <n v="85"/>
    <n v="42350"/>
    <n v="0"/>
  </r>
  <r>
    <d v="2019-04-05T00:00:00"/>
    <x v="0"/>
    <x v="0"/>
    <x v="0"/>
    <n v="158"/>
    <n v="78959"/>
    <n v="50000"/>
  </r>
  <r>
    <d v="2019-04-05T00:00:00"/>
    <x v="0"/>
    <x v="0"/>
    <x v="3"/>
    <n v="172"/>
    <n v="85900"/>
    <n v="2000000"/>
  </r>
  <r>
    <d v="2019-04-06T00:00:00"/>
    <x v="0"/>
    <x v="0"/>
    <x v="8"/>
    <n v="176"/>
    <n v="88042"/>
    <n v="2000000"/>
  </r>
  <r>
    <d v="2019-04-06T00:00:00"/>
    <x v="0"/>
    <x v="0"/>
    <x v="2"/>
    <n v="63"/>
    <n v="31275"/>
    <n v="2000000"/>
  </r>
  <r>
    <d v="2019-04-07T00:00:00"/>
    <x v="0"/>
    <x v="0"/>
    <x v="2"/>
    <n v="7"/>
    <n v="3420"/>
    <n v="2000000"/>
  </r>
  <r>
    <d v="2019-04-07T00:00:00"/>
    <x v="0"/>
    <x v="0"/>
    <x v="0"/>
    <n v="128"/>
    <n v="63960"/>
    <n v="2000000"/>
  </r>
  <r>
    <d v="2019-04-09T00:00:00"/>
    <x v="0"/>
    <x v="0"/>
    <x v="2"/>
    <n v="391"/>
    <n v="195360"/>
    <n v="40000"/>
  </r>
  <r>
    <d v="2019-04-09T00:00:00"/>
    <x v="0"/>
    <x v="0"/>
    <x v="0"/>
    <n v="292"/>
    <n v="145835"/>
    <n v="20000"/>
  </r>
  <r>
    <d v="2019-04-09T00:00:00"/>
    <x v="0"/>
    <x v="0"/>
    <x v="2"/>
    <n v="120"/>
    <n v="59974"/>
    <n v="31000"/>
  </r>
  <r>
    <d v="2019-04-10T00:00:00"/>
    <x v="0"/>
    <x v="0"/>
    <x v="9"/>
    <n v="97"/>
    <n v="48668"/>
    <n v="25000"/>
  </r>
  <r>
    <d v="2019-04-11T00:00:00"/>
    <x v="0"/>
    <x v="0"/>
    <x v="8"/>
    <n v="101"/>
    <n v="50400"/>
    <n v="0"/>
  </r>
  <r>
    <d v="2019-04-11T00:00:00"/>
    <x v="0"/>
    <x v="0"/>
    <x v="10"/>
    <n v="82"/>
    <n v="40850"/>
    <n v="40850"/>
  </r>
  <r>
    <d v="2019-04-11T00:00:00"/>
    <x v="0"/>
    <x v="0"/>
    <x v="11"/>
    <n v="208"/>
    <n v="103986"/>
    <n v="70000"/>
  </r>
  <r>
    <d v="2019-04-11T00:00:00"/>
    <x v="0"/>
    <x v="0"/>
    <x v="12"/>
    <n v="200"/>
    <n v="100014"/>
    <n v="0"/>
  </r>
  <r>
    <d v="2019-04-11T00:00:00"/>
    <x v="0"/>
    <x v="0"/>
    <x v="1"/>
    <n v="29"/>
    <n v="14740"/>
    <n v="15000"/>
  </r>
  <r>
    <d v="2019-04-11T00:00:00"/>
    <x v="0"/>
    <x v="0"/>
    <x v="0"/>
    <n v="102"/>
    <n v="50876"/>
    <n v="2000000"/>
  </r>
  <r>
    <d v="2019-04-12T00:00:00"/>
    <x v="0"/>
    <x v="0"/>
    <x v="4"/>
    <n v="358"/>
    <n v="178895"/>
    <n v="2000000"/>
  </r>
  <r>
    <d v="2019-04-12T00:00:00"/>
    <x v="0"/>
    <x v="0"/>
    <x v="0"/>
    <n v="200"/>
    <n v="99949"/>
    <n v="60400"/>
  </r>
  <r>
    <d v="2019-04-12T00:00:00"/>
    <x v="0"/>
    <x v="0"/>
    <x v="0"/>
    <n v="379"/>
    <n v="189431"/>
    <n v="0"/>
  </r>
  <r>
    <d v="2019-04-12T00:00:00"/>
    <x v="0"/>
    <x v="0"/>
    <x v="1"/>
    <n v="17"/>
    <n v="8560"/>
    <n v="8000"/>
  </r>
  <r>
    <d v="2019-04-13T00:00:00"/>
    <x v="0"/>
    <x v="0"/>
    <x v="7"/>
    <n v="307"/>
    <n v="153419"/>
    <n v="0"/>
  </r>
  <r>
    <d v="2019-04-17T00:00:00"/>
    <x v="0"/>
    <x v="0"/>
    <x v="4"/>
    <n v="4935"/>
    <n v="2467699"/>
    <n v="0"/>
  </r>
  <r>
    <d v="2019-04-17T00:00:00"/>
    <x v="0"/>
    <x v="0"/>
    <x v="13"/>
    <n v="105"/>
    <n v="52484"/>
    <n v="50000"/>
  </r>
  <r>
    <d v="2019-04-17T00:00:00"/>
    <x v="0"/>
    <x v="0"/>
    <x v="2"/>
    <n v="80"/>
    <n v="39970"/>
    <n v="0"/>
  </r>
  <r>
    <d v="2019-04-17T00:00:00"/>
    <x v="0"/>
    <x v="0"/>
    <x v="1"/>
    <n v="654"/>
    <n v="327040"/>
    <n v="0"/>
  </r>
  <r>
    <d v="2019-04-18T00:00:00"/>
    <x v="0"/>
    <x v="0"/>
    <x v="13"/>
    <n v="122"/>
    <n v="60922"/>
    <n v="45000"/>
  </r>
  <r>
    <d v="2019-04-18T00:00:00"/>
    <x v="0"/>
    <x v="0"/>
    <x v="4"/>
    <n v="233"/>
    <n v="116520"/>
    <n v="0"/>
  </r>
  <r>
    <d v="2019-04-18T00:00:00"/>
    <x v="0"/>
    <x v="0"/>
    <x v="0"/>
    <n v="535"/>
    <n v="267502"/>
    <n v="100000"/>
  </r>
  <r>
    <d v="2019-04-18T00:00:00"/>
    <x v="0"/>
    <x v="0"/>
    <x v="8"/>
    <n v="53"/>
    <n v="26300"/>
    <n v="30800"/>
  </r>
  <r>
    <d v="2019-04-18T00:00:00"/>
    <x v="0"/>
    <x v="0"/>
    <x v="8"/>
    <n v="14"/>
    <n v="6920"/>
    <n v="6920"/>
  </r>
  <r>
    <d v="2019-04-18T00:00:00"/>
    <x v="0"/>
    <x v="0"/>
    <x v="9"/>
    <n v="45"/>
    <n v="22380"/>
    <n v="85000"/>
  </r>
  <r>
    <d v="2019-04-18T00:00:00"/>
    <x v="0"/>
    <x v="0"/>
    <x v="5"/>
    <n v="119"/>
    <n v="59458"/>
    <n v="19450"/>
  </r>
  <r>
    <d v="2019-04-18T00:00:00"/>
    <x v="0"/>
    <x v="0"/>
    <x v="2"/>
    <n v="56"/>
    <n v="27875"/>
    <n v="20500"/>
  </r>
  <r>
    <d v="2019-04-19T00:00:00"/>
    <x v="0"/>
    <x v="0"/>
    <x v="0"/>
    <n v="11"/>
    <n v="5580"/>
    <n v="4000"/>
  </r>
  <r>
    <d v="2019-04-20T00:00:00"/>
    <x v="0"/>
    <x v="0"/>
    <x v="2"/>
    <n v="400"/>
    <n v="199883"/>
    <n v="20000"/>
  </r>
  <r>
    <d v="2019-04-20T00:00:00"/>
    <x v="0"/>
    <x v="0"/>
    <x v="7"/>
    <n v="970"/>
    <n v="485172"/>
    <n v="2000000"/>
  </r>
  <r>
    <d v="2019-04-20T00:00:00"/>
    <x v="0"/>
    <x v="0"/>
    <x v="14"/>
    <n v="306"/>
    <n v="152800"/>
    <n v="2000000"/>
  </r>
  <r>
    <d v="2019-04-20T00:00:00"/>
    <x v="0"/>
    <x v="0"/>
    <x v="11"/>
    <n v="201"/>
    <n v="100682"/>
    <n v="2000000"/>
  </r>
  <r>
    <d v="2019-04-21T00:00:00"/>
    <x v="0"/>
    <x v="0"/>
    <x v="2"/>
    <n v="149"/>
    <n v="74694"/>
    <n v="10000"/>
  </r>
  <r>
    <d v="2019-04-21T00:00:00"/>
    <x v="0"/>
    <x v="0"/>
    <x v="5"/>
    <n v="137"/>
    <n v="68355"/>
    <n v="0"/>
  </r>
  <r>
    <d v="2019-04-21T00:00:00"/>
    <x v="0"/>
    <x v="0"/>
    <x v="0"/>
    <n v="358"/>
    <n v="179096"/>
    <n v="0"/>
  </r>
  <r>
    <d v="2019-04-23T00:00:00"/>
    <x v="0"/>
    <x v="0"/>
    <x v="7"/>
    <n v="581"/>
    <n v="290615"/>
    <n v="0"/>
  </r>
  <r>
    <d v="2019-04-23T00:00:00"/>
    <x v="0"/>
    <x v="0"/>
    <x v="5"/>
    <n v="204"/>
    <n v="101753"/>
    <n v="0"/>
  </r>
  <r>
    <d v="2019-04-23T00:00:00"/>
    <x v="0"/>
    <x v="0"/>
    <x v="0"/>
    <n v="253"/>
    <n v="126585"/>
    <n v="0"/>
  </r>
  <r>
    <d v="2019-04-24T00:00:00"/>
    <x v="0"/>
    <x v="0"/>
    <x v="4"/>
    <n v="707"/>
    <n v="353592"/>
    <n v="0"/>
  </r>
  <r>
    <d v="2019-04-24T00:00:00"/>
    <x v="0"/>
    <x v="0"/>
    <x v="0"/>
    <n v="423"/>
    <n v="211420"/>
    <n v="60000"/>
  </r>
  <r>
    <d v="2019-04-25T00:00:00"/>
    <x v="0"/>
    <x v="0"/>
    <x v="4"/>
    <n v="1386"/>
    <n v="692936"/>
    <n v="2000000"/>
  </r>
  <r>
    <d v="2019-04-25T00:00:00"/>
    <x v="0"/>
    <x v="0"/>
    <x v="2"/>
    <n v="481"/>
    <n v="240279"/>
    <n v="2000000"/>
  </r>
  <r>
    <d v="2019-04-25T00:00:00"/>
    <x v="0"/>
    <x v="0"/>
    <x v="9"/>
    <n v="675"/>
    <n v="337628"/>
    <n v="2000000"/>
  </r>
  <r>
    <d v="2019-04-26T00:00:00"/>
    <x v="0"/>
    <x v="0"/>
    <x v="2"/>
    <n v="157"/>
    <n v="78444"/>
    <n v="80000"/>
  </r>
  <r>
    <d v="2019-04-26T00:00:00"/>
    <x v="0"/>
    <x v="0"/>
    <x v="2"/>
    <n v="1239"/>
    <n v="619300"/>
    <n v="50000"/>
  </r>
  <r>
    <d v="2019-04-26T00:00:00"/>
    <x v="0"/>
    <x v="0"/>
    <x v="9"/>
    <n v="148"/>
    <n v="73816"/>
    <n v="20000"/>
  </r>
  <r>
    <d v="2019-04-27T00:00:00"/>
    <x v="0"/>
    <x v="0"/>
    <x v="2"/>
    <n v="31"/>
    <n v="15275"/>
    <n v="0"/>
  </r>
  <r>
    <d v="2019-04-27T00:00:00"/>
    <x v="0"/>
    <x v="0"/>
    <x v="4"/>
    <n v="77"/>
    <n v="38700"/>
    <n v="23700"/>
  </r>
  <r>
    <d v="2019-04-28T00:00:00"/>
    <x v="0"/>
    <x v="0"/>
    <x v="1"/>
    <n v="50"/>
    <n v="25050"/>
    <n v="0"/>
  </r>
  <r>
    <d v="2019-04-26T00:00:00"/>
    <x v="0"/>
    <x v="1"/>
    <x v="12"/>
    <n v="14"/>
    <n v="7000"/>
    <n v="0"/>
  </r>
  <r>
    <d v="2019-04-11T00:00:00"/>
    <x v="0"/>
    <x v="1"/>
    <x v="15"/>
    <n v="17"/>
    <n v="8560"/>
    <n v="0"/>
  </r>
  <r>
    <d v="2019-04-11T00:00:00"/>
    <x v="0"/>
    <x v="1"/>
    <x v="3"/>
    <n v="21"/>
    <n v="10360"/>
    <n v="10500"/>
  </r>
  <r>
    <d v="2019-04-26T00:00:00"/>
    <x v="0"/>
    <x v="1"/>
    <x v="12"/>
    <n v="26"/>
    <n v="13030"/>
    <n v="0"/>
  </r>
  <r>
    <d v="2019-04-26T00:00:00"/>
    <x v="0"/>
    <x v="1"/>
    <x v="8"/>
    <n v="26"/>
    <n v="12930"/>
    <n v="0"/>
  </r>
  <r>
    <d v="2019-04-26T00:00:00"/>
    <x v="0"/>
    <x v="1"/>
    <x v="14"/>
    <n v="28"/>
    <n v="13900"/>
    <n v="0"/>
  </r>
  <r>
    <d v="2019-04-26T00:00:00"/>
    <x v="0"/>
    <x v="1"/>
    <x v="13"/>
    <n v="31"/>
    <n v="15480"/>
    <n v="0"/>
  </r>
  <r>
    <d v="2019-04-26T00:00:00"/>
    <x v="0"/>
    <x v="1"/>
    <x v="3"/>
    <n v="44"/>
    <n v="21930"/>
    <n v="0"/>
  </r>
  <r>
    <d v="2019-04-26T00:00:00"/>
    <x v="0"/>
    <x v="1"/>
    <x v="12"/>
    <n v="47"/>
    <n v="23320"/>
    <n v="0"/>
  </r>
  <r>
    <d v="2019-04-11T00:00:00"/>
    <x v="0"/>
    <x v="1"/>
    <x v="6"/>
    <n v="50"/>
    <n v="24960"/>
    <n v="25000"/>
  </r>
  <r>
    <d v="2019-04-26T00:00:00"/>
    <x v="0"/>
    <x v="1"/>
    <x v="12"/>
    <n v="58"/>
    <n v="29130"/>
    <n v="0"/>
  </r>
  <r>
    <d v="2019-04-18T00:00:00"/>
    <x v="0"/>
    <x v="1"/>
    <x v="8"/>
    <n v="68"/>
    <n v="34150"/>
    <n v="0"/>
  </r>
  <r>
    <d v="2019-04-18T00:00:00"/>
    <x v="0"/>
    <x v="1"/>
    <x v="3"/>
    <n v="70"/>
    <n v="34980"/>
    <n v="71900"/>
  </r>
  <r>
    <d v="2019-04-26T00:00:00"/>
    <x v="0"/>
    <x v="1"/>
    <x v="8"/>
    <n v="70"/>
    <n v="34770"/>
    <n v="0"/>
  </r>
  <r>
    <d v="2019-04-04T00:00:00"/>
    <x v="0"/>
    <x v="1"/>
    <x v="6"/>
    <n v="71"/>
    <n v="35620"/>
    <n v="50000"/>
  </r>
  <r>
    <d v="2019-04-18T00:00:00"/>
    <x v="0"/>
    <x v="1"/>
    <x v="3"/>
    <n v="71"/>
    <n v="35640"/>
    <n v="99500"/>
  </r>
  <r>
    <d v="2019-04-18T00:00:00"/>
    <x v="0"/>
    <x v="1"/>
    <x v="16"/>
    <n v="72"/>
    <n v="36070"/>
    <n v="12000"/>
  </r>
  <r>
    <d v="2019-04-26T00:00:00"/>
    <x v="0"/>
    <x v="1"/>
    <x v="10"/>
    <n v="76"/>
    <n v="37780"/>
    <n v="0"/>
  </r>
  <r>
    <d v="2019-04-18T00:00:00"/>
    <x v="0"/>
    <x v="1"/>
    <x v="8"/>
    <n v="84"/>
    <n v="42240"/>
    <n v="0"/>
  </r>
  <r>
    <d v="2019-04-11T00:00:00"/>
    <x v="0"/>
    <x v="1"/>
    <x v="8"/>
    <n v="88"/>
    <n v="44150"/>
    <n v="100000"/>
  </r>
  <r>
    <d v="2019-04-18T00:00:00"/>
    <x v="0"/>
    <x v="1"/>
    <x v="15"/>
    <n v="93"/>
    <n v="46350"/>
    <n v="34500"/>
  </r>
  <r>
    <d v="2019-04-18T00:00:00"/>
    <x v="0"/>
    <x v="1"/>
    <x v="6"/>
    <n v="96"/>
    <n v="47870"/>
    <n v="0"/>
  </r>
  <r>
    <d v="2019-04-04T00:00:00"/>
    <x v="0"/>
    <x v="1"/>
    <x v="6"/>
    <n v="99"/>
    <n v="49330"/>
    <n v="51910"/>
  </r>
  <r>
    <d v="2019-04-26T00:00:00"/>
    <x v="0"/>
    <x v="1"/>
    <x v="14"/>
    <n v="104"/>
    <n v="51910"/>
    <n v="0"/>
  </r>
  <r>
    <d v="2019-04-11T00:00:00"/>
    <x v="0"/>
    <x v="1"/>
    <x v="2"/>
    <n v="108"/>
    <n v="54140"/>
    <n v="0"/>
  </r>
  <r>
    <d v="2019-04-18T00:00:00"/>
    <x v="0"/>
    <x v="1"/>
    <x v="1"/>
    <n v="111"/>
    <n v="55730"/>
    <n v="89520"/>
  </r>
  <r>
    <d v="2019-04-18T00:00:00"/>
    <x v="0"/>
    <x v="1"/>
    <x v="10"/>
    <n v="116"/>
    <n v="58200"/>
    <n v="0"/>
  </r>
  <r>
    <d v="2019-04-18T00:00:00"/>
    <x v="0"/>
    <x v="1"/>
    <x v="12"/>
    <n v="117"/>
    <n v="58730"/>
    <n v="0"/>
  </r>
  <r>
    <d v="2019-04-26T00:00:00"/>
    <x v="0"/>
    <x v="1"/>
    <x v="5"/>
    <n v="121"/>
    <n v="60480"/>
    <n v="0"/>
  </r>
  <r>
    <d v="2019-04-04T00:00:00"/>
    <x v="0"/>
    <x v="1"/>
    <x v="4"/>
    <n v="123"/>
    <n v="61500"/>
    <n v="110000"/>
  </r>
  <r>
    <d v="2019-04-26T00:00:00"/>
    <x v="0"/>
    <x v="1"/>
    <x v="9"/>
    <n v="127"/>
    <n v="63700"/>
    <n v="0"/>
  </r>
  <r>
    <d v="2019-04-18T00:00:00"/>
    <x v="0"/>
    <x v="1"/>
    <x v="3"/>
    <n v="133"/>
    <n v="66460"/>
    <n v="4460"/>
  </r>
  <r>
    <d v="2019-04-11T00:00:00"/>
    <x v="0"/>
    <x v="1"/>
    <x v="5"/>
    <n v="135"/>
    <n v="67530"/>
    <n v="100000"/>
  </r>
  <r>
    <d v="2019-04-26T00:00:00"/>
    <x v="0"/>
    <x v="1"/>
    <x v="2"/>
    <n v="139"/>
    <n v="69660"/>
    <n v="0"/>
  </r>
  <r>
    <d v="2019-04-11T00:00:00"/>
    <x v="0"/>
    <x v="1"/>
    <x v="17"/>
    <n v="147"/>
    <n v="73660"/>
    <n v="89000"/>
  </r>
  <r>
    <d v="2019-04-11T00:00:00"/>
    <x v="0"/>
    <x v="1"/>
    <x v="8"/>
    <n v="153"/>
    <n v="76580"/>
    <n v="0"/>
  </r>
  <r>
    <d v="2019-04-11T00:00:00"/>
    <x v="0"/>
    <x v="1"/>
    <x v="12"/>
    <n v="154"/>
    <n v="77140"/>
    <n v="25500"/>
  </r>
  <r>
    <d v="2019-04-04T00:00:00"/>
    <x v="0"/>
    <x v="1"/>
    <x v="12"/>
    <n v="158"/>
    <n v="79230"/>
    <n v="50000"/>
  </r>
  <r>
    <d v="2019-04-18T00:00:00"/>
    <x v="0"/>
    <x v="1"/>
    <x v="2"/>
    <n v="174"/>
    <n v="87160"/>
    <n v="83430"/>
  </r>
  <r>
    <d v="2019-04-04T00:00:00"/>
    <x v="0"/>
    <x v="1"/>
    <x v="1"/>
    <n v="179"/>
    <n v="89630"/>
    <n v="100000"/>
  </r>
  <r>
    <d v="2019-04-11T00:00:00"/>
    <x v="0"/>
    <x v="1"/>
    <x v="3"/>
    <n v="202"/>
    <n v="100830"/>
    <n v="130000"/>
  </r>
  <r>
    <d v="2019-04-26T00:00:00"/>
    <x v="0"/>
    <x v="1"/>
    <x v="6"/>
    <n v="212"/>
    <n v="105960"/>
    <n v="0"/>
  </r>
  <r>
    <d v="2019-04-04T00:00:00"/>
    <x v="0"/>
    <x v="1"/>
    <x v="11"/>
    <n v="219"/>
    <n v="109600"/>
    <n v="0"/>
  </r>
  <r>
    <d v="2019-04-26T00:00:00"/>
    <x v="0"/>
    <x v="1"/>
    <x v="8"/>
    <n v="221"/>
    <n v="110360"/>
    <n v="0"/>
  </r>
  <r>
    <d v="2019-04-18T00:00:00"/>
    <x v="0"/>
    <x v="1"/>
    <x v="1"/>
    <n v="226"/>
    <n v="113010"/>
    <n v="100000"/>
  </r>
  <r>
    <d v="2019-04-11T00:00:00"/>
    <x v="0"/>
    <x v="1"/>
    <x v="16"/>
    <n v="231"/>
    <n v="115410"/>
    <n v="130000"/>
  </r>
  <r>
    <d v="2019-04-18T00:00:00"/>
    <x v="0"/>
    <x v="1"/>
    <x v="7"/>
    <n v="236"/>
    <n v="118240"/>
    <n v="0"/>
  </r>
  <r>
    <d v="2019-04-11T00:00:00"/>
    <x v="0"/>
    <x v="1"/>
    <x v="8"/>
    <n v="247"/>
    <n v="123720"/>
    <n v="100000"/>
  </r>
  <r>
    <d v="2019-04-11T00:00:00"/>
    <x v="0"/>
    <x v="1"/>
    <x v="0"/>
    <n v="248"/>
    <n v="124030"/>
    <n v="180000"/>
  </r>
  <r>
    <d v="2019-04-11T00:00:00"/>
    <x v="0"/>
    <x v="1"/>
    <x v="2"/>
    <n v="249"/>
    <n v="124360"/>
    <n v="50000"/>
  </r>
  <r>
    <d v="2019-04-04T00:00:00"/>
    <x v="0"/>
    <x v="1"/>
    <x v="13"/>
    <n v="255"/>
    <n v="127300"/>
    <n v="0"/>
  </r>
  <r>
    <d v="2019-04-04T00:00:00"/>
    <x v="0"/>
    <x v="1"/>
    <x v="8"/>
    <n v="256"/>
    <n v="128070"/>
    <n v="25000"/>
  </r>
  <r>
    <d v="2019-04-11T00:00:00"/>
    <x v="0"/>
    <x v="1"/>
    <x v="9"/>
    <n v="263"/>
    <n v="131720"/>
    <n v="0"/>
  </r>
  <r>
    <d v="2019-04-11T00:00:00"/>
    <x v="0"/>
    <x v="1"/>
    <x v="10"/>
    <n v="265"/>
    <n v="132410"/>
    <n v="0"/>
  </r>
  <r>
    <d v="2019-04-04T00:00:00"/>
    <x v="0"/>
    <x v="1"/>
    <x v="1"/>
    <n v="273"/>
    <n v="136550"/>
    <n v="269000"/>
  </r>
  <r>
    <d v="2019-04-04T00:00:00"/>
    <x v="0"/>
    <x v="1"/>
    <x v="3"/>
    <n v="288"/>
    <n v="144200"/>
    <n v="30000"/>
  </r>
  <r>
    <d v="2019-04-26T00:00:00"/>
    <x v="0"/>
    <x v="1"/>
    <x v="1"/>
    <n v="293"/>
    <n v="146455"/>
    <n v="0"/>
  </r>
  <r>
    <d v="2019-04-04T00:00:00"/>
    <x v="0"/>
    <x v="1"/>
    <x v="8"/>
    <n v="314"/>
    <n v="156840"/>
    <n v="50000"/>
  </r>
  <r>
    <d v="2019-04-18T00:00:00"/>
    <x v="0"/>
    <x v="1"/>
    <x v="4"/>
    <n v="321"/>
    <n v="160650"/>
    <n v="151500"/>
  </r>
  <r>
    <d v="2019-04-18T00:00:00"/>
    <x v="0"/>
    <x v="1"/>
    <x v="4"/>
    <n v="326"/>
    <n v="162950"/>
    <n v="90000"/>
  </r>
  <r>
    <d v="2019-04-26T00:00:00"/>
    <x v="0"/>
    <x v="1"/>
    <x v="15"/>
    <n v="327"/>
    <n v="163490"/>
    <n v="0"/>
  </r>
  <r>
    <d v="2019-04-18T00:00:00"/>
    <x v="0"/>
    <x v="1"/>
    <x v="1"/>
    <n v="334"/>
    <n v="167250"/>
    <n v="150000"/>
  </r>
  <r>
    <d v="2019-04-18T00:00:00"/>
    <x v="0"/>
    <x v="1"/>
    <x v="5"/>
    <n v="357"/>
    <n v="178490"/>
    <n v="0"/>
  </r>
  <r>
    <d v="2019-04-18T00:00:00"/>
    <x v="0"/>
    <x v="1"/>
    <x v="1"/>
    <n v="382"/>
    <n v="191095"/>
    <n v="213000"/>
  </r>
  <r>
    <d v="2019-04-11T00:00:00"/>
    <x v="0"/>
    <x v="1"/>
    <x v="4"/>
    <n v="390"/>
    <n v="195220"/>
    <n v="50000"/>
  </r>
  <r>
    <d v="2019-04-04T00:00:00"/>
    <x v="0"/>
    <x v="1"/>
    <x v="2"/>
    <n v="420"/>
    <n v="209770"/>
    <n v="0"/>
  </r>
  <r>
    <d v="2019-04-26T00:00:00"/>
    <x v="0"/>
    <x v="1"/>
    <x v="10"/>
    <n v="426"/>
    <n v="213220"/>
    <n v="0"/>
  </r>
  <r>
    <d v="2019-04-11T00:00:00"/>
    <x v="0"/>
    <x v="1"/>
    <x v="16"/>
    <n v="442"/>
    <n v="221240"/>
    <n v="22790"/>
  </r>
  <r>
    <d v="2019-04-11T00:00:00"/>
    <x v="0"/>
    <x v="1"/>
    <x v="8"/>
    <n v="445"/>
    <n v="222440"/>
    <n v="100000"/>
  </r>
  <r>
    <d v="2019-04-26T00:00:00"/>
    <x v="0"/>
    <x v="1"/>
    <x v="8"/>
    <n v="455"/>
    <n v="227550"/>
    <n v="0"/>
  </r>
  <r>
    <d v="2019-04-04T00:00:00"/>
    <x v="0"/>
    <x v="1"/>
    <x v="3"/>
    <n v="457"/>
    <n v="228680"/>
    <n v="93000"/>
  </r>
  <r>
    <d v="2019-04-11T00:00:00"/>
    <x v="0"/>
    <x v="1"/>
    <x v="3"/>
    <n v="458"/>
    <n v="228800"/>
    <n v="30000"/>
  </r>
  <r>
    <d v="2019-04-26T00:00:00"/>
    <x v="0"/>
    <x v="1"/>
    <x v="4"/>
    <n v="495"/>
    <n v="247650"/>
    <n v="0"/>
  </r>
  <r>
    <d v="2019-04-26T00:00:00"/>
    <x v="0"/>
    <x v="1"/>
    <x v="6"/>
    <n v="499"/>
    <n v="249290"/>
    <n v="0"/>
  </r>
  <r>
    <d v="2019-04-04T00:00:00"/>
    <x v="0"/>
    <x v="1"/>
    <x v="5"/>
    <n v="501"/>
    <n v="250600"/>
    <n v="65000"/>
  </r>
  <r>
    <d v="2019-04-18T00:00:00"/>
    <x v="0"/>
    <x v="1"/>
    <x v="1"/>
    <n v="502"/>
    <n v="250750"/>
    <n v="40000"/>
  </r>
  <r>
    <d v="2019-04-18T00:00:00"/>
    <x v="0"/>
    <x v="1"/>
    <x v="10"/>
    <n v="508"/>
    <n v="254180"/>
    <n v="100000"/>
  </r>
  <r>
    <d v="2019-04-26T00:00:00"/>
    <x v="0"/>
    <x v="1"/>
    <x v="11"/>
    <n v="528"/>
    <n v="264140"/>
    <n v="0"/>
  </r>
  <r>
    <d v="2019-04-04T00:00:00"/>
    <x v="0"/>
    <x v="1"/>
    <x v="5"/>
    <n v="533"/>
    <n v="266290"/>
    <n v="170000"/>
  </r>
  <r>
    <d v="2019-04-11T00:00:00"/>
    <x v="0"/>
    <x v="1"/>
    <x v="1"/>
    <n v="546"/>
    <n v="272920"/>
    <n v="0"/>
  </r>
  <r>
    <d v="2019-04-26T00:00:00"/>
    <x v="0"/>
    <x v="1"/>
    <x v="2"/>
    <n v="547"/>
    <n v="273580"/>
    <n v="0"/>
  </r>
  <r>
    <d v="2019-04-26T00:00:00"/>
    <x v="0"/>
    <x v="1"/>
    <x v="16"/>
    <n v="575"/>
    <n v="287680"/>
    <n v="0"/>
  </r>
  <r>
    <d v="2019-04-26T00:00:00"/>
    <x v="0"/>
    <x v="1"/>
    <x v="17"/>
    <n v="595"/>
    <n v="297710"/>
    <n v="0"/>
  </r>
  <r>
    <d v="2019-04-18T00:00:00"/>
    <x v="0"/>
    <x v="1"/>
    <x v="14"/>
    <n v="600"/>
    <n v="300250"/>
    <n v="0"/>
  </r>
  <r>
    <d v="2019-04-18T00:00:00"/>
    <x v="0"/>
    <x v="1"/>
    <x v="17"/>
    <n v="615"/>
    <n v="307290"/>
    <n v="175000"/>
  </r>
  <r>
    <d v="2019-04-18T00:00:00"/>
    <x v="0"/>
    <x v="1"/>
    <x v="4"/>
    <n v="630"/>
    <n v="314850"/>
    <n v="20000"/>
  </r>
  <r>
    <d v="2019-04-04T00:00:00"/>
    <x v="0"/>
    <x v="1"/>
    <x v="8"/>
    <n v="638"/>
    <n v="319160"/>
    <n v="300000"/>
  </r>
  <r>
    <d v="2019-04-04T00:00:00"/>
    <x v="0"/>
    <x v="1"/>
    <x v="16"/>
    <n v="675"/>
    <n v="337630"/>
    <n v="70000"/>
  </r>
  <r>
    <d v="2019-04-11T00:00:00"/>
    <x v="0"/>
    <x v="1"/>
    <x v="1"/>
    <n v="688"/>
    <n v="343750"/>
    <n v="80000"/>
  </r>
  <r>
    <d v="2019-04-26T00:00:00"/>
    <x v="0"/>
    <x v="1"/>
    <x v="8"/>
    <n v="689"/>
    <n v="344560"/>
    <n v="0"/>
  </r>
  <r>
    <d v="2019-04-11T00:00:00"/>
    <x v="0"/>
    <x v="1"/>
    <x v="2"/>
    <n v="692"/>
    <n v="346080"/>
    <n v="50000"/>
  </r>
  <r>
    <d v="2019-04-04T00:00:00"/>
    <x v="0"/>
    <x v="1"/>
    <x v="0"/>
    <n v="712"/>
    <n v="356040"/>
    <n v="25000"/>
  </r>
  <r>
    <d v="2019-04-18T00:00:00"/>
    <x v="0"/>
    <x v="1"/>
    <x v="8"/>
    <n v="744"/>
    <n v="371760"/>
    <n v="0"/>
  </r>
  <r>
    <d v="2019-04-11T00:00:00"/>
    <x v="0"/>
    <x v="1"/>
    <x v="4"/>
    <n v="756"/>
    <n v="378010"/>
    <n v="100000"/>
  </r>
  <r>
    <d v="2019-04-26T00:00:00"/>
    <x v="0"/>
    <x v="1"/>
    <x v="1"/>
    <n v="762"/>
    <n v="380890"/>
    <n v="0"/>
  </r>
  <r>
    <d v="2019-04-11T00:00:00"/>
    <x v="0"/>
    <x v="1"/>
    <x v="5"/>
    <n v="765"/>
    <n v="382530"/>
    <n v="40000"/>
  </r>
  <r>
    <d v="2019-04-18T00:00:00"/>
    <x v="0"/>
    <x v="1"/>
    <x v="0"/>
    <n v="789"/>
    <n v="394400"/>
    <n v="30000"/>
  </r>
  <r>
    <d v="2019-04-11T00:00:00"/>
    <x v="0"/>
    <x v="1"/>
    <x v="8"/>
    <n v="801"/>
    <n v="400310"/>
    <n v="240000"/>
  </r>
  <r>
    <d v="2019-04-11T00:00:00"/>
    <x v="0"/>
    <x v="1"/>
    <x v="1"/>
    <n v="814"/>
    <n v="406850"/>
    <n v="150000"/>
  </r>
  <r>
    <d v="2019-04-18T00:00:00"/>
    <x v="0"/>
    <x v="1"/>
    <x v="14"/>
    <n v="820"/>
    <n v="410000"/>
    <n v="100000"/>
  </r>
  <r>
    <d v="2019-04-18T00:00:00"/>
    <x v="0"/>
    <x v="1"/>
    <x v="2"/>
    <n v="856"/>
    <n v="427880"/>
    <n v="65000"/>
  </r>
  <r>
    <d v="2019-04-04T00:00:00"/>
    <x v="0"/>
    <x v="1"/>
    <x v="10"/>
    <n v="860"/>
    <n v="429760"/>
    <n v="304320"/>
  </r>
  <r>
    <d v="2019-04-11T00:00:00"/>
    <x v="0"/>
    <x v="1"/>
    <x v="1"/>
    <n v="907"/>
    <n v="453440"/>
    <n v="150000"/>
  </r>
  <r>
    <d v="2019-04-26T00:00:00"/>
    <x v="0"/>
    <x v="1"/>
    <x v="3"/>
    <n v="932"/>
    <n v="465850"/>
    <n v="0"/>
  </r>
  <r>
    <d v="2019-04-18T00:00:00"/>
    <x v="0"/>
    <x v="1"/>
    <x v="4"/>
    <n v="958"/>
    <n v="478950"/>
    <n v="106800"/>
  </r>
  <r>
    <d v="2019-04-04T00:00:00"/>
    <x v="0"/>
    <x v="1"/>
    <x v="17"/>
    <n v="1000"/>
    <n v="500090"/>
    <n v="58880"/>
  </r>
  <r>
    <d v="2019-04-18T00:00:00"/>
    <x v="0"/>
    <x v="1"/>
    <x v="6"/>
    <n v="1003"/>
    <n v="501600"/>
    <n v="0"/>
  </r>
  <r>
    <d v="2019-04-26T00:00:00"/>
    <x v="0"/>
    <x v="1"/>
    <x v="4"/>
    <n v="1008"/>
    <n v="504080"/>
    <n v="0"/>
  </r>
  <r>
    <d v="2019-04-26T00:00:00"/>
    <x v="0"/>
    <x v="0"/>
    <x v="3"/>
    <n v="1012"/>
    <n v="505920"/>
    <n v="0"/>
  </r>
  <r>
    <d v="2019-04-26T00:00:00"/>
    <x v="0"/>
    <x v="0"/>
    <x v="5"/>
    <n v="1026"/>
    <n v="513110"/>
    <n v="0"/>
  </r>
  <r>
    <d v="2019-04-26T00:00:00"/>
    <x v="0"/>
    <x v="0"/>
    <x v="7"/>
    <n v="1036"/>
    <n v="518040"/>
    <n v="0"/>
  </r>
  <r>
    <d v="2019-04-11T00:00:00"/>
    <x v="0"/>
    <x v="0"/>
    <x v="4"/>
    <n v="1094"/>
    <n v="547140"/>
    <n v="224400"/>
  </r>
  <r>
    <d v="2019-04-04T00:00:00"/>
    <x v="0"/>
    <x v="0"/>
    <x v="1"/>
    <n v="1095"/>
    <n v="547680"/>
    <n v="150000"/>
  </r>
  <r>
    <d v="2019-04-26T00:00:00"/>
    <x v="0"/>
    <x v="0"/>
    <x v="2"/>
    <n v="1110"/>
    <n v="554820"/>
    <n v="0"/>
  </r>
  <r>
    <d v="2019-04-18T00:00:00"/>
    <x v="0"/>
    <x v="0"/>
    <x v="11"/>
    <n v="1170"/>
    <n v="584990"/>
    <n v="240000"/>
  </r>
  <r>
    <d v="2019-04-04T00:00:00"/>
    <x v="0"/>
    <x v="0"/>
    <x v="2"/>
    <n v="1178"/>
    <n v="588840"/>
    <n v="450000"/>
  </r>
  <r>
    <d v="2019-04-26T00:00:00"/>
    <x v="0"/>
    <x v="0"/>
    <x v="1"/>
    <n v="1187"/>
    <n v="593404"/>
    <n v="2000000"/>
  </r>
  <r>
    <d v="2019-04-26T00:00:00"/>
    <x v="0"/>
    <x v="0"/>
    <x v="4"/>
    <n v="1192"/>
    <n v="596090"/>
    <n v="2000000"/>
  </r>
  <r>
    <d v="2019-04-26T00:00:00"/>
    <x v="0"/>
    <x v="0"/>
    <x v="4"/>
    <n v="1208"/>
    <n v="603810"/>
    <n v="2000000"/>
  </r>
  <r>
    <d v="2019-04-26T00:00:00"/>
    <x v="0"/>
    <x v="0"/>
    <x v="16"/>
    <n v="1224"/>
    <n v="612180"/>
    <n v="2000000"/>
  </r>
  <r>
    <d v="2019-04-11T00:00:00"/>
    <x v="0"/>
    <x v="0"/>
    <x v="1"/>
    <n v="1240"/>
    <n v="620040"/>
    <n v="279000"/>
  </r>
  <r>
    <d v="2019-04-11T00:00:00"/>
    <x v="0"/>
    <x v="0"/>
    <x v="1"/>
    <n v="1324"/>
    <n v="661900"/>
    <n v="308000"/>
  </r>
  <r>
    <d v="2019-04-26T00:00:00"/>
    <x v="0"/>
    <x v="0"/>
    <x v="1"/>
    <n v="1336"/>
    <n v="667800"/>
    <n v="455000"/>
  </r>
  <r>
    <d v="2019-04-04T00:00:00"/>
    <x v="0"/>
    <x v="0"/>
    <x v="8"/>
    <n v="1367"/>
    <n v="683530"/>
    <n v="455000"/>
  </r>
  <r>
    <d v="2019-04-18T00:00:00"/>
    <x v="0"/>
    <x v="0"/>
    <x v="0"/>
    <n v="1381"/>
    <n v="690630"/>
    <n v="60000"/>
  </r>
  <r>
    <d v="2019-04-26T00:00:00"/>
    <x v="0"/>
    <x v="0"/>
    <x v="1"/>
    <n v="1486"/>
    <n v="742840"/>
    <n v="0"/>
  </r>
  <r>
    <d v="2019-04-18T00:00:00"/>
    <x v="0"/>
    <x v="0"/>
    <x v="1"/>
    <n v="1540"/>
    <n v="770180"/>
    <n v="255400"/>
  </r>
  <r>
    <d v="2019-04-18T00:00:00"/>
    <x v="0"/>
    <x v="0"/>
    <x v="11"/>
    <n v="1672"/>
    <n v="836090"/>
    <n v="210000"/>
  </r>
  <r>
    <d v="2019-04-04T00:00:00"/>
    <x v="0"/>
    <x v="0"/>
    <x v="1"/>
    <n v="1711"/>
    <n v="855510"/>
    <n v="390000"/>
  </r>
  <r>
    <d v="2019-04-26T00:00:00"/>
    <x v="0"/>
    <x v="0"/>
    <x v="1"/>
    <n v="1765"/>
    <n v="882510"/>
    <n v="0"/>
  </r>
  <r>
    <d v="2019-04-04T00:00:00"/>
    <x v="0"/>
    <x v="0"/>
    <x v="7"/>
    <n v="1839"/>
    <n v="919620"/>
    <n v="50000"/>
  </r>
  <r>
    <d v="2019-04-04T00:00:00"/>
    <x v="0"/>
    <x v="0"/>
    <x v="10"/>
    <n v="1843"/>
    <n v="921590"/>
    <n v="424900"/>
  </r>
  <r>
    <d v="2019-04-04T00:00:00"/>
    <x v="0"/>
    <x v="0"/>
    <x v="2"/>
    <n v="2040"/>
    <n v="1019880"/>
    <n v="30000"/>
  </r>
  <r>
    <d v="2019-04-04T00:00:00"/>
    <x v="0"/>
    <x v="0"/>
    <x v="0"/>
    <n v="2085"/>
    <n v="1042440"/>
    <n v="170000"/>
  </r>
  <r>
    <d v="2019-04-04T00:00:00"/>
    <x v="0"/>
    <x v="0"/>
    <x v="1"/>
    <n v="2096"/>
    <n v="1048130"/>
    <n v="48200"/>
  </r>
  <r>
    <d v="2019-04-11T00:00:00"/>
    <x v="0"/>
    <x v="0"/>
    <x v="4"/>
    <n v="2152"/>
    <n v="1075960"/>
    <n v="201400"/>
  </r>
  <r>
    <d v="2019-04-11T00:00:00"/>
    <x v="0"/>
    <x v="0"/>
    <x v="11"/>
    <n v="2265"/>
    <n v="1132340"/>
    <n v="370000"/>
  </r>
  <r>
    <d v="2019-04-18T00:00:00"/>
    <x v="0"/>
    <x v="0"/>
    <x v="4"/>
    <n v="2298"/>
    <n v="1149170"/>
    <n v="830590"/>
  </r>
  <r>
    <d v="2019-04-04T00:00:00"/>
    <x v="0"/>
    <x v="0"/>
    <x v="4"/>
    <n v="2339"/>
    <n v="1169590"/>
    <n v="295000"/>
  </r>
  <r>
    <d v="2019-04-26T00:00:00"/>
    <x v="0"/>
    <x v="0"/>
    <x v="4"/>
    <n v="2537"/>
    <n v="1268495"/>
    <n v="0"/>
  </r>
  <r>
    <d v="2019-04-11T00:00:00"/>
    <x v="0"/>
    <x v="0"/>
    <x v="4"/>
    <n v="2555"/>
    <n v="1277350"/>
    <n v="597000"/>
  </r>
  <r>
    <d v="2019-04-26T00:00:00"/>
    <x v="0"/>
    <x v="0"/>
    <x v="0"/>
    <n v="2623"/>
    <n v="1311490"/>
    <n v="597000"/>
  </r>
  <r>
    <d v="2019-04-04T00:00:00"/>
    <x v="0"/>
    <x v="0"/>
    <x v="4"/>
    <n v="3085"/>
    <n v="1542580"/>
    <n v="81920"/>
  </r>
  <r>
    <d v="2019-04-11T00:00:00"/>
    <x v="0"/>
    <x v="0"/>
    <x v="7"/>
    <n v="3180"/>
    <n v="1590046"/>
    <n v="1100000"/>
  </r>
  <r>
    <d v="2019-04-11T00:00:00"/>
    <x v="0"/>
    <x v="0"/>
    <x v="11"/>
    <n v="3409"/>
    <n v="1704680"/>
    <n v="1100000"/>
  </r>
  <r>
    <d v="2019-04-26T00:00:00"/>
    <x v="0"/>
    <x v="0"/>
    <x v="11"/>
    <n v="3527"/>
    <n v="1763270"/>
    <n v="1100000"/>
  </r>
  <r>
    <d v="2019-04-04T00:00:00"/>
    <x v="0"/>
    <x v="0"/>
    <x v="1"/>
    <n v="3892"/>
    <n v="1946170"/>
    <n v="115000"/>
  </r>
  <r>
    <d v="2019-04-04T00:00:00"/>
    <x v="0"/>
    <x v="0"/>
    <x v="11"/>
    <n v="4202"/>
    <n v="2101170"/>
    <n v="327200"/>
  </r>
  <r>
    <d v="2019-04-04T00:00:00"/>
    <x v="0"/>
    <x v="0"/>
    <x v="4"/>
    <n v="4430"/>
    <n v="2215240"/>
    <n v="1307000"/>
  </r>
  <r>
    <d v="2019-04-26T00:00:00"/>
    <x v="0"/>
    <x v="0"/>
    <x v="11"/>
    <n v="4577"/>
    <n v="2288500"/>
    <n v="1307000"/>
  </r>
  <r>
    <d v="2019-04-26T00:00:00"/>
    <x v="0"/>
    <x v="0"/>
    <x v="4"/>
    <n v="6067"/>
    <n v="3033730"/>
    <n v="4500"/>
  </r>
  <r>
    <d v="2019-04-04T00:00:00"/>
    <x v="0"/>
    <x v="0"/>
    <x v="11"/>
    <n v="7185"/>
    <n v="3592540"/>
    <n v="150000"/>
  </r>
  <r>
    <d v="2019-04-04T00:00:00"/>
    <x v="0"/>
    <x v="0"/>
    <x v="4"/>
    <n v="7287"/>
    <n v="3643650"/>
    <n v="308000"/>
  </r>
  <r>
    <d v="2019-04-02T00:00:00"/>
    <x v="0"/>
    <x v="2"/>
    <x v="4"/>
    <n v="228"/>
    <n v="114140"/>
    <n v="0"/>
  </r>
  <r>
    <d v="2019-04-02T00:00:00"/>
    <x v="0"/>
    <x v="2"/>
    <x v="2"/>
    <n v="16"/>
    <n v="8150"/>
    <n v="36000"/>
  </r>
  <r>
    <d v="2019-04-03T00:00:00"/>
    <x v="0"/>
    <x v="2"/>
    <x v="4"/>
    <n v="1651"/>
    <n v="825325"/>
    <n v="100000"/>
  </r>
  <r>
    <d v="2019-04-03T00:00:00"/>
    <x v="0"/>
    <x v="2"/>
    <x v="0"/>
    <n v="208"/>
    <n v="103890"/>
    <n v="0"/>
  </r>
  <r>
    <d v="2019-04-03T00:00:00"/>
    <x v="0"/>
    <x v="2"/>
    <x v="9"/>
    <n v="182"/>
    <n v="91030"/>
    <n v="0"/>
  </r>
  <r>
    <d v="2019-04-03T00:00:00"/>
    <x v="0"/>
    <x v="2"/>
    <x v="3"/>
    <n v="145"/>
    <n v="72660"/>
    <n v="0"/>
  </r>
  <r>
    <d v="2019-04-04T00:00:00"/>
    <x v="0"/>
    <x v="2"/>
    <x v="7"/>
    <n v="114"/>
    <n v="57010"/>
    <n v="0"/>
  </r>
  <r>
    <d v="2019-04-04T00:00:00"/>
    <x v="0"/>
    <x v="2"/>
    <x v="4"/>
    <n v="186"/>
    <n v="93024"/>
    <n v="20000"/>
  </r>
  <r>
    <d v="2019-04-04T00:00:00"/>
    <x v="0"/>
    <x v="2"/>
    <x v="2"/>
    <n v="615"/>
    <n v="307315"/>
    <n v="20000"/>
  </r>
  <r>
    <d v="2019-04-04T00:00:00"/>
    <x v="0"/>
    <x v="2"/>
    <x v="0"/>
    <n v="103"/>
    <n v="51625"/>
    <n v="0"/>
  </r>
  <r>
    <d v="2019-04-05T00:00:00"/>
    <x v="0"/>
    <x v="2"/>
    <x v="8"/>
    <n v="373"/>
    <n v="186640"/>
    <n v="42000"/>
  </r>
  <r>
    <d v="2019-04-05T00:00:00"/>
    <x v="0"/>
    <x v="2"/>
    <x v="2"/>
    <n v="36"/>
    <n v="18140"/>
    <n v="4900"/>
  </r>
  <r>
    <d v="2019-04-06T00:00:00"/>
    <x v="0"/>
    <x v="2"/>
    <x v="10"/>
    <n v="99"/>
    <n v="49620"/>
    <n v="2000"/>
  </r>
  <r>
    <d v="2019-04-07T00:00:00"/>
    <x v="0"/>
    <x v="2"/>
    <x v="8"/>
    <n v="55"/>
    <n v="27330"/>
    <n v="330"/>
  </r>
  <r>
    <d v="2019-04-09T00:00:00"/>
    <x v="0"/>
    <x v="2"/>
    <x v="2"/>
    <n v="63"/>
    <n v="31640"/>
    <n v="20000"/>
  </r>
  <r>
    <d v="2019-04-09T00:00:00"/>
    <x v="0"/>
    <x v="2"/>
    <x v="10"/>
    <n v="74"/>
    <n v="36930"/>
    <n v="11930"/>
  </r>
  <r>
    <d v="2019-04-10T00:00:00"/>
    <x v="0"/>
    <x v="2"/>
    <x v="0"/>
    <n v="105"/>
    <n v="52520"/>
    <n v="10000"/>
  </r>
  <r>
    <d v="2019-04-10T00:00:00"/>
    <x v="0"/>
    <x v="2"/>
    <x v="10"/>
    <n v="12"/>
    <n v="5985"/>
    <n v="0"/>
  </r>
  <r>
    <d v="2019-04-10T00:00:00"/>
    <x v="0"/>
    <x v="2"/>
    <x v="4"/>
    <n v="87"/>
    <n v="43650"/>
    <n v="0"/>
  </r>
  <r>
    <d v="2019-04-10T00:00:00"/>
    <x v="0"/>
    <x v="2"/>
    <x v="9"/>
    <n v="14"/>
    <n v="6795"/>
    <n v="4000"/>
  </r>
  <r>
    <d v="2019-04-11T00:00:00"/>
    <x v="0"/>
    <x v="2"/>
    <x v="12"/>
    <n v="170"/>
    <n v="84915"/>
    <n v="25060"/>
  </r>
  <r>
    <d v="2019-04-11T00:00:00"/>
    <x v="0"/>
    <x v="2"/>
    <x v="10"/>
    <n v="35"/>
    <n v="17460"/>
    <n v="20000"/>
  </r>
  <r>
    <d v="2019-04-11T00:00:00"/>
    <x v="0"/>
    <x v="2"/>
    <x v="2"/>
    <n v="49"/>
    <n v="24330"/>
    <n v="20000"/>
  </r>
  <r>
    <d v="2019-04-12T00:00:00"/>
    <x v="0"/>
    <x v="2"/>
    <x v="4"/>
    <n v="218"/>
    <n v="108870"/>
    <n v="0"/>
  </r>
  <r>
    <d v="2019-04-12T00:00:00"/>
    <x v="0"/>
    <x v="2"/>
    <x v="7"/>
    <n v="286"/>
    <n v="142870"/>
    <n v="0"/>
  </r>
  <r>
    <d v="2019-04-12T00:00:00"/>
    <x v="0"/>
    <x v="2"/>
    <x v="4"/>
    <n v="45"/>
    <n v="22650"/>
    <n v="2650"/>
  </r>
  <r>
    <d v="2019-04-12T00:00:00"/>
    <x v="0"/>
    <x v="2"/>
    <x v="2"/>
    <n v="110"/>
    <n v="54795"/>
    <n v="16430"/>
  </r>
  <r>
    <d v="2019-04-13T00:00:00"/>
    <x v="0"/>
    <x v="2"/>
    <x v="2"/>
    <n v="6"/>
    <n v="3150"/>
    <n v="0"/>
  </r>
  <r>
    <d v="2019-04-13T00:00:00"/>
    <x v="0"/>
    <x v="2"/>
    <x v="1"/>
    <n v="20"/>
    <n v="10080"/>
    <n v="0"/>
  </r>
  <r>
    <d v="2019-04-16T00:00:00"/>
    <x v="0"/>
    <x v="2"/>
    <x v="2"/>
    <n v="11"/>
    <n v="5685"/>
    <n v="0"/>
  </r>
  <r>
    <d v="2019-04-16T00:00:00"/>
    <x v="0"/>
    <x v="2"/>
    <x v="4"/>
    <n v="43"/>
    <n v="21640"/>
    <n v="0"/>
  </r>
  <r>
    <d v="2019-04-17T00:00:00"/>
    <x v="0"/>
    <x v="2"/>
    <x v="2"/>
    <n v="18"/>
    <n v="8875"/>
    <n v="54990"/>
  </r>
  <r>
    <d v="2019-04-17T00:00:00"/>
    <x v="0"/>
    <x v="2"/>
    <x v="0"/>
    <n v="75"/>
    <n v="37340"/>
    <n v="20000"/>
  </r>
  <r>
    <d v="2019-04-18T00:00:00"/>
    <x v="0"/>
    <x v="2"/>
    <x v="2"/>
    <n v="40"/>
    <n v="20040"/>
    <n v="56040"/>
  </r>
  <r>
    <d v="2019-04-18T00:00:00"/>
    <x v="0"/>
    <x v="2"/>
    <x v="0"/>
    <n v="73"/>
    <n v="36430"/>
    <n v="0"/>
  </r>
  <r>
    <d v="2019-04-19T00:00:00"/>
    <x v="0"/>
    <x v="2"/>
    <x v="4"/>
    <n v="1068"/>
    <n v="534000"/>
    <n v="0"/>
  </r>
  <r>
    <d v="2019-04-19T00:00:00"/>
    <x v="0"/>
    <x v="2"/>
    <x v="2"/>
    <n v="62"/>
    <n v="31090"/>
    <n v="50000"/>
  </r>
  <r>
    <d v="2019-04-20T00:00:00"/>
    <x v="0"/>
    <x v="2"/>
    <x v="8"/>
    <n v="28"/>
    <n v="13950"/>
    <n v="0"/>
  </r>
  <r>
    <d v="2019-04-20T00:00:00"/>
    <x v="0"/>
    <x v="2"/>
    <x v="2"/>
    <n v="202"/>
    <n v="100840"/>
    <n v="20000"/>
  </r>
  <r>
    <d v="2019-04-20T00:00:00"/>
    <x v="0"/>
    <x v="2"/>
    <x v="3"/>
    <n v="119"/>
    <n v="59700"/>
    <n v="29700"/>
  </r>
  <r>
    <d v="2019-04-20T00:00:00"/>
    <x v="0"/>
    <x v="2"/>
    <x v="3"/>
    <n v="55"/>
    <n v="27400"/>
    <n v="27400"/>
  </r>
  <r>
    <d v="2019-04-20T00:00:00"/>
    <x v="0"/>
    <x v="2"/>
    <x v="12"/>
    <n v="79"/>
    <n v="39485"/>
    <n v="0"/>
  </r>
  <r>
    <d v="2019-04-21T00:00:00"/>
    <x v="0"/>
    <x v="2"/>
    <x v="13"/>
    <n v="423"/>
    <n v="211650"/>
    <n v="0"/>
  </r>
  <r>
    <d v="2019-04-21T00:00:00"/>
    <x v="0"/>
    <x v="2"/>
    <x v="2"/>
    <n v="120"/>
    <n v="60100"/>
    <n v="40100"/>
  </r>
  <r>
    <d v="2019-04-23T00:00:00"/>
    <x v="0"/>
    <x v="2"/>
    <x v="5"/>
    <n v="158"/>
    <n v="78750"/>
    <n v="28750"/>
  </r>
  <r>
    <d v="2019-04-24T00:00:00"/>
    <x v="0"/>
    <x v="2"/>
    <x v="2"/>
    <n v="33"/>
    <n v="16690"/>
    <n v="0"/>
  </r>
  <r>
    <d v="2019-04-25T00:00:00"/>
    <x v="0"/>
    <x v="2"/>
    <x v="2"/>
    <n v="48"/>
    <n v="24105"/>
    <n v="28100"/>
  </r>
  <r>
    <d v="2019-04-25T00:00:00"/>
    <x v="0"/>
    <x v="2"/>
    <x v="7"/>
    <n v="75"/>
    <n v="37290"/>
    <n v="25000"/>
  </r>
  <r>
    <d v="2019-04-25T00:00:00"/>
    <x v="0"/>
    <x v="2"/>
    <x v="13"/>
    <n v="16"/>
    <n v="7800"/>
    <n v="800"/>
  </r>
  <r>
    <d v="2019-04-26T00:00:00"/>
    <x v="0"/>
    <x v="2"/>
    <x v="4"/>
    <n v="181"/>
    <n v="90370"/>
    <n v="0"/>
  </r>
  <r>
    <d v="2019-04-26T00:00:00"/>
    <x v="0"/>
    <x v="2"/>
    <x v="2"/>
    <n v="216"/>
    <n v="108090"/>
    <n v="0"/>
  </r>
  <r>
    <d v="2019-04-27T00:00:00"/>
    <x v="0"/>
    <x v="2"/>
    <x v="2"/>
    <n v="80"/>
    <n v="40180"/>
    <n v="25000"/>
  </r>
  <r>
    <d v="2019-04-27T00:00:00"/>
    <x v="0"/>
    <x v="2"/>
    <x v="0"/>
    <n v="140"/>
    <n v="70000"/>
    <n v="0"/>
  </r>
  <r>
    <d v="2019-04-28T00:00:00"/>
    <x v="0"/>
    <x v="2"/>
    <x v="2"/>
    <n v="60"/>
    <n v="29900"/>
    <n v="62500"/>
  </r>
  <r>
    <d v="2019-04-28T00:00:00"/>
    <x v="0"/>
    <x v="2"/>
    <x v="0"/>
    <n v="8"/>
    <n v="4185"/>
    <n v="0"/>
  </r>
  <r>
    <d v="2019-04-28T00:00:00"/>
    <x v="0"/>
    <x v="2"/>
    <x v="3"/>
    <n v="54"/>
    <n v="27000"/>
    <n v="15000"/>
  </r>
  <r>
    <d v="2019-04-30T00:00:00"/>
    <x v="0"/>
    <x v="2"/>
    <x v="5"/>
    <n v="59"/>
    <n v="29600"/>
    <n v="0"/>
  </r>
  <r>
    <d v="2019-04-30T00:00:00"/>
    <x v="0"/>
    <x v="2"/>
    <x v="2"/>
    <n v="44"/>
    <n v="22230"/>
    <n v="0"/>
  </r>
  <r>
    <d v="2019-04-04T00:00:00"/>
    <x v="0"/>
    <x v="3"/>
    <x v="11"/>
    <n v="505"/>
    <n v="252695"/>
    <n v="0"/>
  </r>
  <r>
    <d v="2019-04-04T00:00:00"/>
    <x v="0"/>
    <x v="3"/>
    <x v="8"/>
    <n v="635"/>
    <n v="317455"/>
    <n v="0"/>
  </r>
  <r>
    <d v="2019-04-04T00:00:00"/>
    <x v="0"/>
    <x v="3"/>
    <x v="8"/>
    <n v="250"/>
    <n v="125195"/>
    <n v="59000"/>
  </r>
  <r>
    <d v="2019-04-04T00:00:00"/>
    <x v="0"/>
    <x v="3"/>
    <x v="1"/>
    <n v="1453"/>
    <n v="726325"/>
    <n v="10000"/>
  </r>
  <r>
    <d v="2019-04-04T00:00:00"/>
    <x v="0"/>
    <x v="3"/>
    <x v="17"/>
    <n v="74"/>
    <n v="37225"/>
    <n v="0"/>
  </r>
  <r>
    <d v="2019-04-04T00:00:00"/>
    <x v="0"/>
    <x v="3"/>
    <x v="4"/>
    <n v="189"/>
    <n v="94300"/>
    <n v="0"/>
  </r>
  <r>
    <d v="2019-04-04T00:00:00"/>
    <x v="0"/>
    <x v="3"/>
    <x v="4"/>
    <n v="1050"/>
    <n v="525170"/>
    <n v="0"/>
  </r>
  <r>
    <d v="2019-04-04T00:00:00"/>
    <x v="0"/>
    <x v="3"/>
    <x v="4"/>
    <n v="122"/>
    <n v="60870"/>
    <n v="2000"/>
  </r>
  <r>
    <d v="2019-04-04T00:00:00"/>
    <x v="0"/>
    <x v="3"/>
    <x v="11"/>
    <n v="2044"/>
    <n v="1022065"/>
    <n v="0"/>
  </r>
  <r>
    <d v="2019-04-04T00:00:00"/>
    <x v="0"/>
    <x v="3"/>
    <x v="9"/>
    <n v="139"/>
    <n v="69255"/>
    <n v="0"/>
  </r>
  <r>
    <d v="2019-04-04T00:00:00"/>
    <x v="0"/>
    <x v="3"/>
    <x v="5"/>
    <n v="116"/>
    <n v="57875"/>
    <n v="20000"/>
  </r>
  <r>
    <d v="2019-04-04T00:00:00"/>
    <x v="0"/>
    <x v="3"/>
    <x v="3"/>
    <n v="193"/>
    <n v="96630"/>
    <n v="0"/>
  </r>
  <r>
    <d v="2019-04-04T00:00:00"/>
    <x v="0"/>
    <x v="3"/>
    <x v="2"/>
    <n v="759"/>
    <n v="379310"/>
    <n v="0"/>
  </r>
  <r>
    <d v="2019-04-04T00:00:00"/>
    <x v="0"/>
    <x v="3"/>
    <x v="13"/>
    <n v="539"/>
    <n v="269280"/>
    <n v="0"/>
  </r>
  <r>
    <d v="2019-04-04T00:00:00"/>
    <x v="0"/>
    <x v="3"/>
    <x v="15"/>
    <n v="61"/>
    <n v="30325"/>
    <n v="15000"/>
  </r>
  <r>
    <d v="2019-04-04T00:00:00"/>
    <x v="0"/>
    <x v="3"/>
    <x v="11"/>
    <n v="3300"/>
    <n v="1649985"/>
    <n v="0"/>
  </r>
  <r>
    <d v="2019-04-04T00:00:00"/>
    <x v="0"/>
    <x v="3"/>
    <x v="16"/>
    <n v="22"/>
    <n v="10880"/>
    <n v="5000"/>
  </r>
  <r>
    <d v="2019-04-04T00:00:00"/>
    <x v="0"/>
    <x v="3"/>
    <x v="10"/>
    <n v="254"/>
    <n v="126980"/>
    <n v="16000"/>
  </r>
  <r>
    <d v="2019-04-04T00:00:00"/>
    <x v="0"/>
    <x v="3"/>
    <x v="4"/>
    <n v="551"/>
    <n v="275635"/>
    <n v="26000"/>
  </r>
  <r>
    <d v="2019-04-04T00:00:00"/>
    <x v="0"/>
    <x v="3"/>
    <x v="8"/>
    <n v="493"/>
    <n v="246420"/>
    <n v="0"/>
  </r>
  <r>
    <d v="2019-04-04T00:00:00"/>
    <x v="0"/>
    <x v="3"/>
    <x v="2"/>
    <n v="32"/>
    <n v="16095"/>
    <n v="0"/>
  </r>
  <r>
    <d v="2019-04-04T00:00:00"/>
    <x v="0"/>
    <x v="3"/>
    <x v="4"/>
    <n v="366"/>
    <n v="182920"/>
    <n v="0"/>
  </r>
  <r>
    <d v="2019-04-04T00:00:00"/>
    <x v="0"/>
    <x v="3"/>
    <x v="1"/>
    <n v="222"/>
    <n v="110810"/>
    <n v="0"/>
  </r>
  <r>
    <d v="2019-04-04T00:00:00"/>
    <x v="0"/>
    <x v="3"/>
    <x v="8"/>
    <n v="191"/>
    <n v="95420"/>
    <n v="10000"/>
  </r>
  <r>
    <d v="2019-04-04T00:00:00"/>
    <x v="0"/>
    <x v="3"/>
    <x v="4"/>
    <n v="140"/>
    <n v="69885"/>
    <n v="0"/>
  </r>
  <r>
    <d v="2019-04-04T00:00:00"/>
    <x v="0"/>
    <x v="3"/>
    <x v="7"/>
    <n v="58"/>
    <n v="29000"/>
    <n v="0"/>
  </r>
  <r>
    <d v="2019-04-11T00:00:00"/>
    <x v="0"/>
    <x v="3"/>
    <x v="11"/>
    <n v="207"/>
    <n v="103350"/>
    <n v="50000"/>
  </r>
  <r>
    <d v="2019-04-11T00:00:00"/>
    <x v="0"/>
    <x v="3"/>
    <x v="11"/>
    <n v="652"/>
    <n v="326165"/>
    <n v="170000"/>
  </r>
  <r>
    <d v="2019-04-11T00:00:00"/>
    <x v="0"/>
    <x v="3"/>
    <x v="0"/>
    <n v="387"/>
    <n v="193375"/>
    <n v="0"/>
  </r>
  <r>
    <d v="2019-04-11T00:00:00"/>
    <x v="0"/>
    <x v="3"/>
    <x v="4"/>
    <n v="320"/>
    <n v="160080"/>
    <n v="50000"/>
  </r>
  <r>
    <d v="2019-04-11T00:00:00"/>
    <x v="0"/>
    <x v="3"/>
    <x v="8"/>
    <n v="201"/>
    <n v="100350"/>
    <n v="90000"/>
  </r>
  <r>
    <d v="2019-04-11T00:00:00"/>
    <x v="0"/>
    <x v="3"/>
    <x v="4"/>
    <n v="94"/>
    <n v="47190"/>
    <n v="80000"/>
  </r>
  <r>
    <d v="2019-04-11T00:00:00"/>
    <x v="0"/>
    <x v="3"/>
    <x v="3"/>
    <n v="193"/>
    <n v="96610"/>
    <n v="20000"/>
  </r>
  <r>
    <d v="2019-04-11T00:00:00"/>
    <x v="0"/>
    <x v="3"/>
    <x v="4"/>
    <n v="257"/>
    <n v="128620"/>
    <n v="0"/>
  </r>
  <r>
    <d v="2019-04-11T00:00:00"/>
    <x v="0"/>
    <x v="3"/>
    <x v="2"/>
    <n v="153"/>
    <n v="76625"/>
    <n v="1000"/>
  </r>
  <r>
    <d v="2019-04-11T00:00:00"/>
    <x v="0"/>
    <x v="3"/>
    <x v="9"/>
    <n v="237"/>
    <n v="118665"/>
    <n v="0"/>
  </r>
  <r>
    <d v="2019-04-11T00:00:00"/>
    <x v="0"/>
    <x v="3"/>
    <x v="16"/>
    <n v="67"/>
    <n v="33480"/>
    <n v="0"/>
  </r>
  <r>
    <d v="2019-04-11T00:00:00"/>
    <x v="0"/>
    <x v="3"/>
    <x v="3"/>
    <n v="177"/>
    <n v="88620"/>
    <n v="50000"/>
  </r>
  <r>
    <d v="2019-04-11T00:00:00"/>
    <x v="0"/>
    <x v="3"/>
    <x v="11"/>
    <n v="2519"/>
    <n v="1259305"/>
    <n v="400000"/>
  </r>
  <r>
    <d v="2019-04-11T00:00:00"/>
    <x v="0"/>
    <x v="3"/>
    <x v="8"/>
    <n v="29"/>
    <n v="14395"/>
    <n v="50000"/>
  </r>
  <r>
    <d v="2019-04-11T00:00:00"/>
    <x v="0"/>
    <x v="3"/>
    <x v="15"/>
    <n v="588"/>
    <n v="294225"/>
    <n v="300000"/>
  </r>
  <r>
    <d v="2019-04-11T00:00:00"/>
    <x v="0"/>
    <x v="3"/>
    <x v="1"/>
    <n v="355"/>
    <n v="177530"/>
    <n v="940"/>
  </r>
  <r>
    <d v="2019-04-11T00:00:00"/>
    <x v="0"/>
    <x v="3"/>
    <x v="1"/>
    <n v="439"/>
    <n v="219670"/>
    <n v="0"/>
  </r>
  <r>
    <d v="2019-04-11T00:00:00"/>
    <x v="0"/>
    <x v="3"/>
    <x v="14"/>
    <n v="285"/>
    <n v="142590"/>
    <n v="50000"/>
  </r>
  <r>
    <d v="2019-04-11T00:00:00"/>
    <x v="0"/>
    <x v="3"/>
    <x v="17"/>
    <n v="385"/>
    <n v="192295"/>
    <n v="60000"/>
  </r>
  <r>
    <d v="2019-04-11T00:00:00"/>
    <x v="0"/>
    <x v="3"/>
    <x v="14"/>
    <n v="40"/>
    <n v="20075"/>
    <n v="0"/>
  </r>
  <r>
    <d v="2019-04-11T00:00:00"/>
    <x v="0"/>
    <x v="3"/>
    <x v="4"/>
    <n v="913"/>
    <n v="456390"/>
    <n v="0"/>
  </r>
  <r>
    <d v="2019-04-18T00:00:00"/>
    <x v="0"/>
    <x v="3"/>
    <x v="17"/>
    <n v="602"/>
    <n v="301180"/>
    <n v="20000"/>
  </r>
  <r>
    <d v="2019-04-18T00:00:00"/>
    <x v="0"/>
    <x v="3"/>
    <x v="4"/>
    <n v="876"/>
    <n v="437795"/>
    <n v="100000"/>
  </r>
  <r>
    <d v="2019-04-18T00:00:00"/>
    <x v="0"/>
    <x v="3"/>
    <x v="11"/>
    <n v="200"/>
    <n v="100055"/>
    <n v="50000"/>
  </r>
  <r>
    <d v="2019-04-18T00:00:00"/>
    <x v="0"/>
    <x v="3"/>
    <x v="8"/>
    <n v="364"/>
    <n v="182230"/>
    <n v="108300"/>
  </r>
  <r>
    <d v="2019-04-18T00:00:00"/>
    <x v="0"/>
    <x v="3"/>
    <x v="4"/>
    <n v="403"/>
    <n v="201340"/>
    <n v="50000"/>
  </r>
  <r>
    <d v="2019-04-18T00:00:00"/>
    <x v="0"/>
    <x v="3"/>
    <x v="4"/>
    <n v="39"/>
    <n v="19430"/>
    <n v="15000"/>
  </r>
  <r>
    <d v="2019-04-18T00:00:00"/>
    <x v="0"/>
    <x v="3"/>
    <x v="4"/>
    <n v="721"/>
    <n v="360695"/>
    <n v="0"/>
  </r>
  <r>
    <d v="2019-04-18T00:00:00"/>
    <x v="0"/>
    <x v="3"/>
    <x v="9"/>
    <n v="99"/>
    <n v="49610"/>
    <n v="0"/>
  </r>
  <r>
    <d v="2019-04-18T00:00:00"/>
    <x v="0"/>
    <x v="3"/>
    <x v="2"/>
    <n v="205"/>
    <n v="102285"/>
    <n v="50000"/>
  </r>
  <r>
    <d v="2019-04-18T00:00:00"/>
    <x v="0"/>
    <x v="3"/>
    <x v="1"/>
    <n v="87"/>
    <n v="43650"/>
    <n v="30000"/>
  </r>
  <r>
    <d v="2019-04-18T00:00:00"/>
    <x v="0"/>
    <x v="3"/>
    <x v="1"/>
    <n v="530"/>
    <n v="264910"/>
    <n v="150000"/>
  </r>
  <r>
    <d v="2019-04-18T00:00:00"/>
    <x v="0"/>
    <x v="3"/>
    <x v="11"/>
    <n v="1744"/>
    <n v="872210"/>
    <n v="3000"/>
  </r>
  <r>
    <d v="2019-04-18T00:00:00"/>
    <x v="0"/>
    <x v="3"/>
    <x v="11"/>
    <n v="102"/>
    <n v="51060"/>
    <n v="55000"/>
  </r>
  <r>
    <d v="2019-04-18T00:00:00"/>
    <x v="0"/>
    <x v="3"/>
    <x v="2"/>
    <n v="2167"/>
    <n v="1083570"/>
    <n v="0"/>
  </r>
  <r>
    <d v="2019-04-18T00:00:00"/>
    <x v="0"/>
    <x v="3"/>
    <x v="1"/>
    <n v="139"/>
    <n v="69625"/>
    <n v="0"/>
  </r>
  <r>
    <d v="2019-04-18T00:00:00"/>
    <x v="0"/>
    <x v="3"/>
    <x v="1"/>
    <n v="349"/>
    <n v="174440"/>
    <n v="0"/>
  </r>
  <r>
    <d v="2019-04-18T00:00:00"/>
    <x v="0"/>
    <x v="3"/>
    <x v="8"/>
    <n v="2326"/>
    <n v="1163230"/>
    <n v="0"/>
  </r>
  <r>
    <d v="2019-04-26T00:00:00"/>
    <x v="0"/>
    <x v="3"/>
    <x v="0"/>
    <n v="449"/>
    <n v="224500"/>
    <n v="0"/>
  </r>
  <r>
    <d v="2019-04-26T00:00:00"/>
    <x v="0"/>
    <x v="3"/>
    <x v="11"/>
    <n v="263"/>
    <n v="131305"/>
    <n v="0"/>
  </r>
  <r>
    <d v="2019-04-26T00:00:00"/>
    <x v="0"/>
    <x v="3"/>
    <x v="4"/>
    <n v="434"/>
    <n v="216950"/>
    <n v="0"/>
  </r>
  <r>
    <d v="2019-04-26T00:00:00"/>
    <x v="0"/>
    <x v="3"/>
    <x v="17"/>
    <n v="166"/>
    <n v="82845"/>
    <n v="0"/>
  </r>
  <r>
    <d v="2019-04-26T00:00:00"/>
    <x v="0"/>
    <x v="3"/>
    <x v="4"/>
    <n v="201"/>
    <n v="100300"/>
    <n v="0"/>
  </r>
  <r>
    <d v="2019-04-26T00:00:00"/>
    <x v="0"/>
    <x v="3"/>
    <x v="4"/>
    <n v="361"/>
    <n v="180630"/>
    <n v="50000"/>
  </r>
  <r>
    <d v="2019-04-26T00:00:00"/>
    <x v="0"/>
    <x v="3"/>
    <x v="7"/>
    <n v="90"/>
    <n v="45225"/>
    <n v="45200"/>
  </r>
  <r>
    <d v="2019-04-26T00:00:00"/>
    <x v="0"/>
    <x v="3"/>
    <x v="8"/>
    <n v="82"/>
    <n v="41140"/>
    <n v="0"/>
  </r>
  <r>
    <d v="2019-04-26T00:00:00"/>
    <x v="0"/>
    <x v="3"/>
    <x v="4"/>
    <n v="2352"/>
    <n v="1176030"/>
    <n v="175000"/>
  </r>
  <r>
    <d v="2019-04-26T00:00:00"/>
    <x v="0"/>
    <x v="3"/>
    <x v="9"/>
    <n v="342"/>
    <n v="171030"/>
    <n v="0"/>
  </r>
  <r>
    <d v="2019-04-26T00:00:00"/>
    <x v="0"/>
    <x v="3"/>
    <x v="2"/>
    <n v="324"/>
    <n v="161855"/>
    <n v="103993"/>
  </r>
  <r>
    <d v="2019-04-26T00:00:00"/>
    <x v="0"/>
    <x v="3"/>
    <x v="5"/>
    <n v="681"/>
    <n v="340350"/>
    <n v="30000"/>
  </r>
  <r>
    <d v="2019-04-26T00:00:00"/>
    <x v="0"/>
    <x v="3"/>
    <x v="3"/>
    <n v="615"/>
    <n v="307280"/>
    <n v="0"/>
  </r>
  <r>
    <d v="2019-04-26T00:00:00"/>
    <x v="0"/>
    <x v="3"/>
    <x v="11"/>
    <n v="963"/>
    <n v="481535"/>
    <n v="0"/>
  </r>
  <r>
    <d v="2019-04-26T00:00:00"/>
    <x v="0"/>
    <x v="3"/>
    <x v="1"/>
    <n v="202"/>
    <n v="100995"/>
    <n v="0"/>
  </r>
  <r>
    <d v="2019-04-26T00:00:00"/>
    <x v="0"/>
    <x v="3"/>
    <x v="11"/>
    <n v="932"/>
    <n v="465950"/>
    <n v="0"/>
  </r>
  <r>
    <d v="2019-04-26T00:00:00"/>
    <x v="0"/>
    <x v="3"/>
    <x v="16"/>
    <n v="70"/>
    <n v="35130"/>
    <n v="0"/>
  </r>
  <r>
    <d v="2019-04-26T00:00:00"/>
    <x v="0"/>
    <x v="3"/>
    <x v="10"/>
    <n v="76"/>
    <n v="37965"/>
    <n v="0"/>
  </r>
  <r>
    <d v="2019-04-26T00:00:00"/>
    <x v="0"/>
    <x v="3"/>
    <x v="8"/>
    <n v="66"/>
    <n v="32830"/>
    <n v="0"/>
  </r>
  <r>
    <d v="2019-04-26T00:00:00"/>
    <x v="0"/>
    <x v="3"/>
    <x v="4"/>
    <n v="324"/>
    <n v="161980"/>
    <n v="0"/>
  </r>
  <r>
    <d v="2019-04-26T00:00:00"/>
    <x v="0"/>
    <x v="3"/>
    <x v="4"/>
    <n v="201"/>
    <n v="100385"/>
    <n v="0"/>
  </r>
  <r>
    <d v="2019-04-26T00:00:00"/>
    <x v="0"/>
    <x v="3"/>
    <x v="1"/>
    <n v="48"/>
    <n v="23810"/>
    <n v="0"/>
  </r>
  <r>
    <d v="2019-04-26T00:00:00"/>
    <x v="0"/>
    <x v="3"/>
    <x v="13"/>
    <n v="86"/>
    <n v="42935"/>
    <n v="0"/>
  </r>
  <r>
    <d v="2019-04-26T00:00:00"/>
    <x v="0"/>
    <x v="3"/>
    <x v="3"/>
    <n v="356"/>
    <n v="178185"/>
    <n v="30000"/>
  </r>
  <r>
    <d v="2019-02-01T00:00:00"/>
    <x v="1"/>
    <x v="2"/>
    <x v="2"/>
    <n v="31"/>
    <n v="15730"/>
    <n v="200000"/>
  </r>
  <r>
    <d v="2019-02-01T00:00:00"/>
    <x v="1"/>
    <x v="0"/>
    <x v="4"/>
    <n v="14"/>
    <n v="6880"/>
    <n v="200000"/>
  </r>
  <r>
    <d v="2019-02-01T00:00:00"/>
    <x v="1"/>
    <x v="0"/>
    <x v="11"/>
    <n v="121"/>
    <n v="60390"/>
    <n v="200000"/>
  </r>
  <r>
    <d v="2019-02-01T00:00:00"/>
    <x v="1"/>
    <x v="1"/>
    <x v="12"/>
    <n v="110"/>
    <n v="55101"/>
    <n v="200000"/>
  </r>
  <r>
    <d v="2019-02-01T00:00:00"/>
    <x v="1"/>
    <x v="1"/>
    <x v="7"/>
    <n v="2168"/>
    <n v="1083810"/>
    <n v="200000"/>
  </r>
  <r>
    <d v="2019-02-01T00:00:00"/>
    <x v="1"/>
    <x v="1"/>
    <x v="1"/>
    <n v="982"/>
    <n v="490880"/>
    <n v="200000"/>
  </r>
  <r>
    <d v="2019-02-01T00:00:00"/>
    <x v="1"/>
    <x v="1"/>
    <x v="11"/>
    <n v="5218"/>
    <n v="2608900"/>
    <n v="200000"/>
  </r>
  <r>
    <d v="2019-02-01T00:00:00"/>
    <x v="1"/>
    <x v="1"/>
    <x v="11"/>
    <n v="7919"/>
    <n v="3959260"/>
    <n v="80000"/>
  </r>
  <r>
    <d v="2019-02-01T00:00:00"/>
    <x v="1"/>
    <x v="1"/>
    <x v="8"/>
    <n v="690"/>
    <n v="344820"/>
    <n v="0"/>
  </r>
  <r>
    <d v="2019-02-01T00:00:00"/>
    <x v="1"/>
    <x v="1"/>
    <x v="4"/>
    <n v="990"/>
    <n v="495250"/>
    <n v="3800"/>
  </r>
  <r>
    <d v="2019-02-01T00:00:00"/>
    <x v="1"/>
    <x v="1"/>
    <x v="3"/>
    <n v="387"/>
    <n v="193420"/>
    <n v="5000"/>
  </r>
  <r>
    <d v="2019-02-01T00:00:00"/>
    <x v="1"/>
    <x v="1"/>
    <x v="2"/>
    <n v="735"/>
    <n v="367590"/>
    <n v="0"/>
  </r>
  <r>
    <d v="2019-02-01T00:00:00"/>
    <x v="1"/>
    <x v="1"/>
    <x v="12"/>
    <n v="351"/>
    <n v="175740"/>
    <n v="0"/>
  </r>
  <r>
    <d v="2019-02-01T00:00:00"/>
    <x v="1"/>
    <x v="1"/>
    <x v="4"/>
    <n v="1444"/>
    <n v="721890"/>
    <n v="45000"/>
  </r>
  <r>
    <d v="2019-02-01T00:00:00"/>
    <x v="1"/>
    <x v="1"/>
    <x v="6"/>
    <n v="1691"/>
    <n v="845280"/>
    <n v="0"/>
  </r>
  <r>
    <d v="2019-02-01T00:00:00"/>
    <x v="1"/>
    <x v="1"/>
    <x v="2"/>
    <n v="698"/>
    <n v="348960"/>
    <n v="0"/>
  </r>
  <r>
    <d v="2019-02-01T00:00:00"/>
    <x v="1"/>
    <x v="1"/>
    <x v="1"/>
    <n v="922"/>
    <n v="461010"/>
    <n v="30000"/>
  </r>
  <r>
    <d v="2019-02-01T00:00:00"/>
    <x v="1"/>
    <x v="1"/>
    <x v="5"/>
    <n v="490"/>
    <n v="245080"/>
    <n v="0"/>
  </r>
  <r>
    <d v="2019-02-01T00:00:00"/>
    <x v="1"/>
    <x v="1"/>
    <x v="10"/>
    <n v="119"/>
    <n v="59430"/>
    <n v="0"/>
  </r>
  <r>
    <d v="2019-02-01T00:00:00"/>
    <x v="1"/>
    <x v="1"/>
    <x v="8"/>
    <n v="272"/>
    <n v="136060"/>
    <n v="0"/>
  </r>
  <r>
    <d v="2019-02-01T00:00:00"/>
    <x v="1"/>
    <x v="1"/>
    <x v="4"/>
    <n v="1211"/>
    <n v="605470"/>
    <n v="0"/>
  </r>
  <r>
    <d v="2019-02-01T00:00:00"/>
    <x v="1"/>
    <x v="1"/>
    <x v="0"/>
    <n v="2603"/>
    <n v="1301380"/>
    <n v="0"/>
  </r>
  <r>
    <d v="2019-02-01T00:00:00"/>
    <x v="1"/>
    <x v="1"/>
    <x v="1"/>
    <n v="1756"/>
    <n v="878090"/>
    <n v="0"/>
  </r>
  <r>
    <d v="2019-02-01T00:00:00"/>
    <x v="1"/>
    <x v="1"/>
    <x v="4"/>
    <n v="2453"/>
    <n v="1226380"/>
    <n v="40000"/>
  </r>
  <r>
    <d v="2019-02-01T00:00:00"/>
    <x v="1"/>
    <x v="1"/>
    <x v="1"/>
    <n v="3065"/>
    <n v="1532350"/>
    <n v="456000"/>
  </r>
  <r>
    <d v="2019-02-01T00:00:00"/>
    <x v="1"/>
    <x v="1"/>
    <x v="1"/>
    <n v="114"/>
    <n v="56990"/>
    <n v="0"/>
  </r>
  <r>
    <d v="2019-02-01T00:00:00"/>
    <x v="1"/>
    <x v="1"/>
    <x v="16"/>
    <n v="428"/>
    <n v="214140"/>
    <n v="0"/>
  </r>
  <r>
    <d v="2019-02-01T00:00:00"/>
    <x v="1"/>
    <x v="1"/>
    <x v="1"/>
    <n v="2748"/>
    <n v="1374230"/>
    <n v="91770"/>
  </r>
  <r>
    <d v="2019-02-01T00:00:00"/>
    <x v="1"/>
    <x v="1"/>
    <x v="17"/>
    <n v="513"/>
    <n v="256730"/>
    <n v="0"/>
  </r>
  <r>
    <d v="2019-02-01T00:00:00"/>
    <x v="1"/>
    <x v="1"/>
    <x v="16"/>
    <n v="132"/>
    <n v="65900"/>
    <n v="0"/>
  </r>
  <r>
    <d v="2019-02-01T00:00:00"/>
    <x v="1"/>
    <x v="1"/>
    <x v="8"/>
    <n v="300"/>
    <n v="150140"/>
    <n v="690"/>
  </r>
  <r>
    <d v="2019-02-01T00:00:00"/>
    <x v="1"/>
    <x v="1"/>
    <x v="5"/>
    <n v="360"/>
    <n v="180240"/>
    <n v="0"/>
  </r>
  <r>
    <d v="2019-02-01T00:00:00"/>
    <x v="1"/>
    <x v="1"/>
    <x v="14"/>
    <n v="106"/>
    <n v="53000"/>
    <n v="25000"/>
  </r>
  <r>
    <d v="2019-02-01T00:00:00"/>
    <x v="1"/>
    <x v="1"/>
    <x v="11"/>
    <n v="314"/>
    <n v="157110"/>
    <n v="138000"/>
  </r>
  <r>
    <d v="2019-02-01T00:00:00"/>
    <x v="1"/>
    <x v="1"/>
    <x v="6"/>
    <n v="414"/>
    <n v="206770"/>
    <n v="138000"/>
  </r>
  <r>
    <d v="2019-02-01T00:00:00"/>
    <x v="1"/>
    <x v="1"/>
    <x v="14"/>
    <n v="624"/>
    <n v="312200"/>
    <n v="138000"/>
  </r>
  <r>
    <d v="2019-02-01T00:00:00"/>
    <x v="1"/>
    <x v="1"/>
    <x v="8"/>
    <n v="59"/>
    <n v="29560"/>
    <n v="138000"/>
  </r>
  <r>
    <d v="2019-02-01T00:00:00"/>
    <x v="1"/>
    <x v="1"/>
    <x v="8"/>
    <n v="451"/>
    <n v="225420"/>
    <n v="138000"/>
  </r>
  <r>
    <d v="2019-02-01T00:00:00"/>
    <x v="1"/>
    <x v="3"/>
    <x v="17"/>
    <n v="176"/>
    <n v="88030"/>
    <n v="138000"/>
  </r>
  <r>
    <d v="2019-02-01T00:00:00"/>
    <x v="1"/>
    <x v="3"/>
    <x v="4"/>
    <n v="335"/>
    <n v="167310"/>
    <n v="138000"/>
  </r>
  <r>
    <d v="2019-02-01T00:00:00"/>
    <x v="1"/>
    <x v="3"/>
    <x v="8"/>
    <n v="325"/>
    <n v="162530"/>
    <n v="138000"/>
  </r>
  <r>
    <d v="2019-02-01T00:00:00"/>
    <x v="1"/>
    <x v="3"/>
    <x v="9"/>
    <n v="897"/>
    <n v="448260"/>
    <n v="9000"/>
  </r>
  <r>
    <d v="2019-02-01T00:00:00"/>
    <x v="1"/>
    <x v="3"/>
    <x v="4"/>
    <n v="192"/>
    <n v="95950"/>
    <n v="0"/>
  </r>
  <r>
    <d v="2019-02-01T00:00:00"/>
    <x v="1"/>
    <x v="3"/>
    <x v="1"/>
    <n v="362"/>
    <n v="181195"/>
    <n v="65000"/>
  </r>
  <r>
    <d v="2019-02-01T00:00:00"/>
    <x v="1"/>
    <x v="3"/>
    <x v="4"/>
    <n v="502"/>
    <n v="251060"/>
    <n v="0"/>
  </r>
  <r>
    <d v="2019-02-01T00:00:00"/>
    <x v="1"/>
    <x v="3"/>
    <x v="3"/>
    <n v="419"/>
    <n v="209425"/>
    <n v="0"/>
  </r>
  <r>
    <d v="2019-02-01T00:00:00"/>
    <x v="1"/>
    <x v="3"/>
    <x v="11"/>
    <n v="331"/>
    <n v="165500"/>
    <n v="0"/>
  </r>
  <r>
    <d v="2019-02-01T00:00:00"/>
    <x v="1"/>
    <x v="3"/>
    <x v="1"/>
    <n v="98"/>
    <n v="49230"/>
    <n v="0"/>
  </r>
  <r>
    <d v="2019-02-01T00:00:00"/>
    <x v="1"/>
    <x v="3"/>
    <x v="11"/>
    <n v="778"/>
    <n v="389010"/>
    <n v="3000"/>
  </r>
  <r>
    <d v="2019-02-01T00:00:00"/>
    <x v="1"/>
    <x v="3"/>
    <x v="16"/>
    <n v="41"/>
    <n v="20560"/>
    <n v="10000"/>
  </r>
  <r>
    <d v="2019-02-01T00:00:00"/>
    <x v="1"/>
    <x v="3"/>
    <x v="10"/>
    <n v="130"/>
    <n v="65115"/>
    <n v="20000"/>
  </r>
  <r>
    <d v="2019-02-01T00:00:00"/>
    <x v="1"/>
    <x v="3"/>
    <x v="8"/>
    <n v="78"/>
    <n v="39100"/>
    <n v="0"/>
  </r>
  <r>
    <d v="2019-02-01T00:00:00"/>
    <x v="1"/>
    <x v="3"/>
    <x v="15"/>
    <n v="864"/>
    <n v="431975"/>
    <n v="0"/>
  </r>
  <r>
    <d v="2019-02-01T00:00:00"/>
    <x v="1"/>
    <x v="3"/>
    <x v="8"/>
    <n v="349"/>
    <n v="174515"/>
    <n v="0"/>
  </r>
  <r>
    <d v="2019-02-01T00:00:00"/>
    <x v="1"/>
    <x v="3"/>
    <x v="1"/>
    <n v="903"/>
    <n v="451505"/>
    <n v="0"/>
  </r>
  <r>
    <d v="2019-02-01T00:00:00"/>
    <x v="1"/>
    <x v="3"/>
    <x v="14"/>
    <n v="330"/>
    <n v="164810"/>
    <n v="0"/>
  </r>
  <r>
    <d v="2019-02-01T00:00:00"/>
    <x v="1"/>
    <x v="3"/>
    <x v="12"/>
    <n v="310"/>
    <n v="154950"/>
    <n v="0"/>
  </r>
  <r>
    <d v="2019-02-02T00:00:00"/>
    <x v="1"/>
    <x v="0"/>
    <x v="1"/>
    <n v="25"/>
    <n v="12555"/>
    <n v="0"/>
  </r>
  <r>
    <d v="2019-02-02T00:00:00"/>
    <x v="1"/>
    <x v="0"/>
    <x v="12"/>
    <n v="39"/>
    <n v="19260"/>
    <n v="0"/>
  </r>
  <r>
    <d v="2019-02-03T00:00:00"/>
    <x v="1"/>
    <x v="2"/>
    <x v="12"/>
    <n v="33"/>
    <n v="16700"/>
    <n v="16700"/>
  </r>
  <r>
    <d v="2019-02-03T00:00:00"/>
    <x v="1"/>
    <x v="2"/>
    <x v="8"/>
    <n v="67"/>
    <n v="33600"/>
    <n v="13600"/>
  </r>
  <r>
    <d v="2019-02-03T00:00:00"/>
    <x v="1"/>
    <x v="0"/>
    <x v="13"/>
    <n v="50"/>
    <n v="24805"/>
    <n v="0"/>
  </r>
  <r>
    <d v="2019-02-03T00:00:00"/>
    <x v="1"/>
    <x v="0"/>
    <x v="11"/>
    <n v="295"/>
    <n v="147340"/>
    <n v="0"/>
  </r>
  <r>
    <d v="2019-02-03T00:00:00"/>
    <x v="1"/>
    <x v="0"/>
    <x v="15"/>
    <n v="55"/>
    <n v="27360"/>
    <n v="30000"/>
  </r>
  <r>
    <d v="2019-02-04T00:00:00"/>
    <x v="1"/>
    <x v="2"/>
    <x v="2"/>
    <n v="50"/>
    <n v="24870"/>
    <n v="8820"/>
  </r>
  <r>
    <d v="2019-02-04T00:00:00"/>
    <x v="1"/>
    <x v="0"/>
    <x v="2"/>
    <n v="68"/>
    <n v="34020"/>
    <n v="0"/>
  </r>
  <r>
    <d v="2019-02-06T00:00:00"/>
    <x v="1"/>
    <x v="2"/>
    <x v="2"/>
    <n v="32"/>
    <n v="15750"/>
    <n v="10000"/>
  </r>
  <r>
    <d v="2019-02-06T00:00:00"/>
    <x v="1"/>
    <x v="2"/>
    <x v="1"/>
    <n v="156"/>
    <n v="78100"/>
    <n v="20100"/>
  </r>
  <r>
    <d v="2019-02-06T00:00:00"/>
    <x v="1"/>
    <x v="0"/>
    <x v="4"/>
    <n v="54"/>
    <n v="26880"/>
    <n v="0"/>
  </r>
  <r>
    <d v="2019-02-06T00:00:00"/>
    <x v="1"/>
    <x v="0"/>
    <x v="8"/>
    <n v="505"/>
    <n v="252443"/>
    <n v="0"/>
  </r>
  <r>
    <d v="2019-02-06T00:00:00"/>
    <x v="1"/>
    <x v="0"/>
    <x v="2"/>
    <n v="153"/>
    <n v="76300"/>
    <n v="20000"/>
  </r>
  <r>
    <d v="2019-02-07T00:00:00"/>
    <x v="1"/>
    <x v="2"/>
    <x v="2"/>
    <n v="294"/>
    <n v="146865"/>
    <n v="37000"/>
  </r>
  <r>
    <d v="2019-02-07T00:00:00"/>
    <x v="1"/>
    <x v="2"/>
    <x v="3"/>
    <n v="240"/>
    <n v="120190"/>
    <n v="0"/>
  </r>
  <r>
    <d v="2019-02-07T00:00:00"/>
    <x v="1"/>
    <x v="2"/>
    <x v="2"/>
    <n v="27"/>
    <n v="13600"/>
    <n v="1000"/>
  </r>
  <r>
    <d v="2019-02-07T00:00:00"/>
    <x v="1"/>
    <x v="0"/>
    <x v="7"/>
    <n v="140"/>
    <n v="69750"/>
    <n v="0"/>
  </r>
  <r>
    <d v="2019-02-07T00:00:00"/>
    <x v="1"/>
    <x v="0"/>
    <x v="1"/>
    <n v="425"/>
    <n v="212295"/>
    <n v="0"/>
  </r>
  <r>
    <d v="2019-02-07T00:00:00"/>
    <x v="1"/>
    <x v="0"/>
    <x v="1"/>
    <n v="43"/>
    <n v="21442"/>
    <n v="10000"/>
  </r>
  <r>
    <d v="2019-02-07T00:00:00"/>
    <x v="1"/>
    <x v="0"/>
    <x v="9"/>
    <n v="1372"/>
    <n v="685893"/>
    <n v="0"/>
  </r>
  <r>
    <d v="2019-02-07T00:00:00"/>
    <x v="1"/>
    <x v="0"/>
    <x v="0"/>
    <n v="379"/>
    <n v="189589"/>
    <n v="0"/>
  </r>
  <r>
    <d v="2019-02-07T00:00:00"/>
    <x v="1"/>
    <x v="0"/>
    <x v="9"/>
    <n v="96"/>
    <n v="48190"/>
    <n v="10000"/>
  </r>
  <r>
    <d v="2019-02-08T00:00:00"/>
    <x v="1"/>
    <x v="2"/>
    <x v="1"/>
    <n v="21"/>
    <n v="10325"/>
    <n v="0"/>
  </r>
  <r>
    <d v="2019-02-08T00:00:00"/>
    <x v="1"/>
    <x v="2"/>
    <x v="2"/>
    <n v="66"/>
    <n v="33035"/>
    <n v="64295"/>
  </r>
  <r>
    <d v="2019-02-08T00:00:00"/>
    <x v="1"/>
    <x v="2"/>
    <x v="17"/>
    <n v="61"/>
    <n v="30400"/>
    <n v="0"/>
  </r>
  <r>
    <d v="2019-02-08T00:00:00"/>
    <x v="1"/>
    <x v="0"/>
    <x v="4"/>
    <n v="369"/>
    <n v="184460"/>
    <n v="0"/>
  </r>
  <r>
    <d v="2019-02-08T00:00:00"/>
    <x v="1"/>
    <x v="0"/>
    <x v="1"/>
    <n v="347"/>
    <n v="173313"/>
    <n v="0"/>
  </r>
  <r>
    <d v="2019-02-08T00:00:00"/>
    <x v="1"/>
    <x v="0"/>
    <x v="8"/>
    <n v="54"/>
    <n v="27120"/>
    <n v="0"/>
  </r>
  <r>
    <d v="2019-02-08T00:00:00"/>
    <x v="1"/>
    <x v="1"/>
    <x v="17"/>
    <n v="434"/>
    <n v="217050"/>
    <n v="350000"/>
  </r>
  <r>
    <d v="2019-02-08T00:00:00"/>
    <x v="1"/>
    <x v="1"/>
    <x v="1"/>
    <n v="255"/>
    <n v="127360"/>
    <n v="0"/>
  </r>
  <r>
    <d v="2019-02-08T00:00:00"/>
    <x v="1"/>
    <x v="1"/>
    <x v="11"/>
    <n v="718"/>
    <n v="359010"/>
    <n v="253800"/>
  </r>
  <r>
    <d v="2019-02-08T00:00:00"/>
    <x v="1"/>
    <x v="1"/>
    <x v="11"/>
    <n v="1534"/>
    <n v="767110"/>
    <n v="922000"/>
  </r>
  <r>
    <d v="2019-02-08T00:00:00"/>
    <x v="1"/>
    <x v="1"/>
    <x v="8"/>
    <n v="525"/>
    <n v="262270"/>
    <n v="0"/>
  </r>
  <r>
    <d v="2019-02-08T00:00:00"/>
    <x v="1"/>
    <x v="1"/>
    <x v="4"/>
    <n v="2204"/>
    <n v="1101960"/>
    <n v="680000"/>
  </r>
  <r>
    <d v="2019-02-08T00:00:00"/>
    <x v="1"/>
    <x v="1"/>
    <x v="2"/>
    <n v="803"/>
    <n v="401610"/>
    <n v="10000"/>
  </r>
  <r>
    <d v="2019-02-08T00:00:00"/>
    <x v="1"/>
    <x v="1"/>
    <x v="5"/>
    <n v="770"/>
    <n v="384750"/>
    <n v="15000"/>
  </r>
  <r>
    <d v="2019-02-08T00:00:00"/>
    <x v="1"/>
    <x v="1"/>
    <x v="5"/>
    <n v="218"/>
    <n v="108890"/>
    <n v="160000"/>
  </r>
  <r>
    <d v="2019-02-08T00:00:00"/>
    <x v="1"/>
    <x v="1"/>
    <x v="10"/>
    <n v="30"/>
    <n v="15000"/>
    <n v="40000"/>
  </r>
  <r>
    <d v="2019-02-08T00:00:00"/>
    <x v="1"/>
    <x v="1"/>
    <x v="3"/>
    <n v="68"/>
    <n v="34230"/>
    <n v="0"/>
  </r>
  <r>
    <d v="2019-02-08T00:00:00"/>
    <x v="1"/>
    <x v="1"/>
    <x v="3"/>
    <n v="325"/>
    <n v="162610"/>
    <n v="104000"/>
  </r>
  <r>
    <d v="2019-02-08T00:00:00"/>
    <x v="1"/>
    <x v="1"/>
    <x v="4"/>
    <n v="256"/>
    <n v="127780"/>
    <n v="0"/>
  </r>
  <r>
    <d v="2019-02-08T00:00:00"/>
    <x v="1"/>
    <x v="1"/>
    <x v="4"/>
    <n v="1033"/>
    <n v="516500"/>
    <n v="175000"/>
  </r>
  <r>
    <d v="2019-02-08T00:00:00"/>
    <x v="1"/>
    <x v="1"/>
    <x v="8"/>
    <n v="141"/>
    <n v="70385"/>
    <n v="460"/>
  </r>
  <r>
    <d v="2019-02-08T00:00:00"/>
    <x v="1"/>
    <x v="1"/>
    <x v="0"/>
    <n v="576"/>
    <n v="287960"/>
    <n v="220000"/>
  </r>
  <r>
    <d v="2019-02-08T00:00:00"/>
    <x v="1"/>
    <x v="1"/>
    <x v="1"/>
    <n v="783"/>
    <n v="391300"/>
    <n v="0"/>
  </r>
  <r>
    <d v="2019-02-08T00:00:00"/>
    <x v="1"/>
    <x v="1"/>
    <x v="16"/>
    <n v="264"/>
    <n v="131800"/>
    <n v="92000"/>
  </r>
  <r>
    <d v="2019-02-08T00:00:00"/>
    <x v="1"/>
    <x v="1"/>
    <x v="2"/>
    <n v="8"/>
    <n v="4170"/>
    <n v="50000"/>
  </r>
  <r>
    <d v="2019-02-08T00:00:00"/>
    <x v="1"/>
    <x v="1"/>
    <x v="8"/>
    <n v="287"/>
    <n v="143580"/>
    <n v="36580"/>
  </r>
  <r>
    <d v="2019-02-08T00:00:00"/>
    <x v="1"/>
    <x v="1"/>
    <x v="1"/>
    <n v="429"/>
    <n v="214720"/>
    <n v="150870"/>
  </r>
  <r>
    <d v="2019-02-08T00:00:00"/>
    <x v="1"/>
    <x v="1"/>
    <x v="4"/>
    <n v="439"/>
    <n v="219270"/>
    <n v="33000"/>
  </r>
  <r>
    <d v="2019-02-08T00:00:00"/>
    <x v="1"/>
    <x v="1"/>
    <x v="4"/>
    <n v="418"/>
    <n v="208820"/>
    <n v="40000"/>
  </r>
  <r>
    <d v="2019-02-08T00:00:00"/>
    <x v="1"/>
    <x v="1"/>
    <x v="1"/>
    <n v="3044"/>
    <n v="1522000"/>
    <n v="1051300"/>
  </r>
  <r>
    <d v="2019-02-08T00:00:00"/>
    <x v="1"/>
    <x v="1"/>
    <x v="6"/>
    <n v="313"/>
    <n v="156680"/>
    <n v="74000"/>
  </r>
  <r>
    <d v="2019-02-08T00:00:00"/>
    <x v="1"/>
    <x v="1"/>
    <x v="2"/>
    <n v="327"/>
    <n v="163360"/>
    <n v="30000"/>
  </r>
  <r>
    <d v="2019-02-08T00:00:00"/>
    <x v="1"/>
    <x v="1"/>
    <x v="3"/>
    <n v="216"/>
    <n v="107880"/>
    <n v="20000"/>
  </r>
  <r>
    <d v="2019-02-08T00:00:00"/>
    <x v="1"/>
    <x v="1"/>
    <x v="16"/>
    <n v="41"/>
    <n v="20500"/>
    <n v="7000"/>
  </r>
  <r>
    <d v="2019-02-08T00:00:00"/>
    <x v="1"/>
    <x v="1"/>
    <x v="14"/>
    <n v="75"/>
    <n v="37500"/>
    <n v="0"/>
  </r>
  <r>
    <d v="2019-02-08T00:00:00"/>
    <x v="1"/>
    <x v="1"/>
    <x v="12"/>
    <n v="137"/>
    <n v="68590"/>
    <n v="50000"/>
  </r>
  <r>
    <d v="2019-02-08T00:00:00"/>
    <x v="1"/>
    <x v="1"/>
    <x v="9"/>
    <n v="153"/>
    <n v="76360"/>
    <n v="0"/>
  </r>
  <r>
    <d v="2019-02-08T00:00:00"/>
    <x v="1"/>
    <x v="3"/>
    <x v="11"/>
    <n v="479"/>
    <n v="239575"/>
    <n v="350000"/>
  </r>
  <r>
    <d v="2019-02-08T00:00:00"/>
    <x v="1"/>
    <x v="3"/>
    <x v="8"/>
    <n v="200"/>
    <n v="100200"/>
    <n v="78200"/>
  </r>
  <r>
    <d v="2019-02-08T00:00:00"/>
    <x v="1"/>
    <x v="3"/>
    <x v="1"/>
    <n v="353"/>
    <n v="176315"/>
    <n v="180000"/>
  </r>
  <r>
    <d v="2019-02-08T00:00:00"/>
    <x v="1"/>
    <x v="3"/>
    <x v="17"/>
    <n v="82"/>
    <n v="40905"/>
    <n v="50000"/>
  </r>
  <r>
    <d v="2019-02-08T00:00:00"/>
    <x v="1"/>
    <x v="3"/>
    <x v="13"/>
    <n v="219"/>
    <n v="109540"/>
    <n v="5000"/>
  </r>
  <r>
    <d v="2019-02-08T00:00:00"/>
    <x v="1"/>
    <x v="3"/>
    <x v="4"/>
    <n v="66"/>
    <n v="33225"/>
    <n v="25000"/>
  </r>
  <r>
    <d v="2019-02-08T00:00:00"/>
    <x v="1"/>
    <x v="3"/>
    <x v="1"/>
    <n v="147"/>
    <n v="73275"/>
    <n v="0"/>
  </r>
  <r>
    <d v="2019-02-08T00:00:00"/>
    <x v="1"/>
    <x v="3"/>
    <x v="15"/>
    <n v="14"/>
    <n v="6800"/>
    <n v="7500"/>
  </r>
  <r>
    <d v="2019-02-08T00:00:00"/>
    <x v="1"/>
    <x v="3"/>
    <x v="2"/>
    <n v="279"/>
    <n v="139330"/>
    <n v="0"/>
  </r>
  <r>
    <d v="2019-02-08T00:00:00"/>
    <x v="1"/>
    <x v="3"/>
    <x v="2"/>
    <n v="208"/>
    <n v="104015"/>
    <n v="0"/>
  </r>
  <r>
    <d v="2019-02-08T00:00:00"/>
    <x v="1"/>
    <x v="3"/>
    <x v="11"/>
    <n v="2534"/>
    <n v="1267180"/>
    <n v="600000"/>
  </r>
  <r>
    <d v="2019-02-08T00:00:00"/>
    <x v="1"/>
    <x v="3"/>
    <x v="16"/>
    <n v="40"/>
    <n v="20000"/>
    <n v="10000"/>
  </r>
  <r>
    <d v="2019-02-08T00:00:00"/>
    <x v="1"/>
    <x v="3"/>
    <x v="4"/>
    <n v="30"/>
    <n v="15240"/>
    <n v="0"/>
  </r>
  <r>
    <d v="2019-02-08T00:00:00"/>
    <x v="1"/>
    <x v="3"/>
    <x v="1"/>
    <n v="73"/>
    <n v="36540"/>
    <n v="55000"/>
  </r>
  <r>
    <d v="2019-02-08T00:00:00"/>
    <x v="1"/>
    <x v="3"/>
    <x v="8"/>
    <n v="732"/>
    <n v="366110"/>
    <n v="0"/>
  </r>
  <r>
    <d v="2019-02-09T00:00:00"/>
    <x v="1"/>
    <x v="0"/>
    <x v="2"/>
    <n v="309"/>
    <n v="154520"/>
    <n v="45000"/>
  </r>
  <r>
    <d v="2019-02-09T00:00:00"/>
    <x v="1"/>
    <x v="0"/>
    <x v="3"/>
    <n v="64"/>
    <n v="31830"/>
    <n v="0"/>
  </r>
  <r>
    <d v="2019-02-10T00:00:00"/>
    <x v="1"/>
    <x v="2"/>
    <x v="8"/>
    <n v="23"/>
    <n v="11480"/>
    <n v="6480"/>
  </r>
  <r>
    <d v="2019-02-10T00:00:00"/>
    <x v="1"/>
    <x v="0"/>
    <x v="2"/>
    <n v="228"/>
    <n v="113830"/>
    <n v="10000"/>
  </r>
  <r>
    <d v="2019-02-10T00:00:00"/>
    <x v="1"/>
    <x v="0"/>
    <x v="4"/>
    <n v="341"/>
    <n v="170300"/>
    <n v="50000"/>
  </r>
  <r>
    <d v="2019-02-10T00:00:00"/>
    <x v="1"/>
    <x v="0"/>
    <x v="8"/>
    <n v="26"/>
    <n v="12825"/>
    <n v="0"/>
  </r>
  <r>
    <d v="2019-02-11T00:00:00"/>
    <x v="1"/>
    <x v="0"/>
    <x v="5"/>
    <n v="303"/>
    <n v="151620"/>
    <n v="0"/>
  </r>
  <r>
    <d v="2019-02-11T00:00:00"/>
    <x v="1"/>
    <x v="0"/>
    <x v="2"/>
    <n v="421"/>
    <n v="210560"/>
    <n v="50000"/>
  </r>
  <r>
    <d v="2019-02-11T00:00:00"/>
    <x v="1"/>
    <x v="0"/>
    <x v="8"/>
    <n v="161"/>
    <n v="80400"/>
    <n v="400"/>
  </r>
  <r>
    <d v="2019-02-13T00:00:00"/>
    <x v="1"/>
    <x v="0"/>
    <x v="2"/>
    <n v="7"/>
    <n v="3420"/>
    <n v="0"/>
  </r>
  <r>
    <d v="2019-02-13T00:00:00"/>
    <x v="1"/>
    <x v="0"/>
    <x v="11"/>
    <n v="61"/>
    <n v="30606"/>
    <n v="0"/>
  </r>
  <r>
    <d v="2019-02-14T00:00:00"/>
    <x v="1"/>
    <x v="2"/>
    <x v="2"/>
    <n v="105"/>
    <n v="52375"/>
    <n v="21390"/>
  </r>
  <r>
    <d v="2019-02-14T00:00:00"/>
    <x v="1"/>
    <x v="2"/>
    <x v="3"/>
    <n v="33"/>
    <n v="16420"/>
    <n v="0"/>
  </r>
  <r>
    <d v="2019-02-14T00:00:00"/>
    <x v="1"/>
    <x v="2"/>
    <x v="3"/>
    <n v="28"/>
    <n v="14080"/>
    <n v="0"/>
  </r>
  <r>
    <d v="2019-02-14T00:00:00"/>
    <x v="1"/>
    <x v="0"/>
    <x v="2"/>
    <n v="443"/>
    <n v="221322"/>
    <n v="0"/>
  </r>
  <r>
    <d v="2019-02-14T00:00:00"/>
    <x v="1"/>
    <x v="0"/>
    <x v="14"/>
    <n v="147"/>
    <n v="73700"/>
    <n v="3700"/>
  </r>
  <r>
    <d v="2019-02-15T00:00:00"/>
    <x v="1"/>
    <x v="2"/>
    <x v="2"/>
    <n v="50"/>
    <n v="24800"/>
    <n v="0"/>
  </r>
  <r>
    <d v="2019-02-15T00:00:00"/>
    <x v="1"/>
    <x v="2"/>
    <x v="2"/>
    <n v="37"/>
    <n v="18550"/>
    <n v="13550"/>
  </r>
  <r>
    <d v="2019-02-15T00:00:00"/>
    <x v="1"/>
    <x v="2"/>
    <x v="3"/>
    <n v="424"/>
    <n v="211750"/>
    <n v="120250"/>
  </r>
  <r>
    <d v="2019-02-15T00:00:00"/>
    <x v="1"/>
    <x v="2"/>
    <x v="9"/>
    <n v="48"/>
    <n v="23960"/>
    <n v="0"/>
  </r>
  <r>
    <d v="2019-02-15T00:00:00"/>
    <x v="1"/>
    <x v="0"/>
    <x v="4"/>
    <n v="188"/>
    <n v="93954"/>
    <n v="0"/>
  </r>
  <r>
    <d v="2019-02-15T00:00:00"/>
    <x v="1"/>
    <x v="0"/>
    <x v="13"/>
    <n v="145"/>
    <n v="72564"/>
    <n v="50000"/>
  </r>
  <r>
    <d v="2019-02-15T00:00:00"/>
    <x v="1"/>
    <x v="0"/>
    <x v="2"/>
    <n v="138"/>
    <n v="69152"/>
    <n v="30000"/>
  </r>
  <r>
    <d v="2019-02-15T00:00:00"/>
    <x v="1"/>
    <x v="0"/>
    <x v="11"/>
    <n v="137"/>
    <n v="68365"/>
    <n v="0"/>
  </r>
  <r>
    <d v="2019-02-15T00:00:00"/>
    <x v="1"/>
    <x v="1"/>
    <x v="4"/>
    <n v="1488"/>
    <n v="743920"/>
    <n v="92000"/>
  </r>
  <r>
    <d v="2019-02-15T00:00:00"/>
    <x v="1"/>
    <x v="1"/>
    <x v="17"/>
    <n v="320"/>
    <n v="159970"/>
    <n v="20940"/>
  </r>
  <r>
    <d v="2019-02-15T00:00:00"/>
    <x v="1"/>
    <x v="1"/>
    <x v="7"/>
    <n v="886"/>
    <n v="443080"/>
    <n v="40000"/>
  </r>
  <r>
    <d v="2019-02-15T00:00:00"/>
    <x v="1"/>
    <x v="1"/>
    <x v="11"/>
    <n v="2136"/>
    <n v="1068070"/>
    <n v="650000"/>
  </r>
  <r>
    <d v="2019-02-15T00:00:00"/>
    <x v="1"/>
    <x v="1"/>
    <x v="11"/>
    <n v="3612"/>
    <n v="1805920"/>
    <n v="180270"/>
  </r>
  <r>
    <d v="2019-02-15T00:00:00"/>
    <x v="1"/>
    <x v="1"/>
    <x v="8"/>
    <n v="306"/>
    <n v="153120"/>
    <n v="270000"/>
  </r>
  <r>
    <d v="2019-02-15T00:00:00"/>
    <x v="1"/>
    <x v="1"/>
    <x v="4"/>
    <n v="427"/>
    <n v="213350"/>
    <n v="0"/>
  </r>
  <r>
    <d v="2019-02-15T00:00:00"/>
    <x v="1"/>
    <x v="1"/>
    <x v="0"/>
    <n v="1389"/>
    <n v="694660"/>
    <n v="170000"/>
  </r>
  <r>
    <d v="2019-02-15T00:00:00"/>
    <x v="1"/>
    <x v="1"/>
    <x v="5"/>
    <n v="75"/>
    <n v="37260"/>
    <n v="20000"/>
  </r>
  <r>
    <d v="2019-02-15T00:00:00"/>
    <x v="1"/>
    <x v="1"/>
    <x v="2"/>
    <n v="1173"/>
    <n v="586460"/>
    <n v="190000"/>
  </r>
  <r>
    <d v="2019-02-15T00:00:00"/>
    <x v="1"/>
    <x v="1"/>
    <x v="11"/>
    <n v="144"/>
    <n v="72000"/>
    <n v="2000"/>
  </r>
  <r>
    <d v="2019-02-15T00:00:00"/>
    <x v="1"/>
    <x v="1"/>
    <x v="8"/>
    <n v="89"/>
    <n v="44450"/>
    <n v="0"/>
  </r>
  <r>
    <d v="2019-02-15T00:00:00"/>
    <x v="1"/>
    <x v="1"/>
    <x v="4"/>
    <n v="1070"/>
    <n v="534760"/>
    <n v="90000"/>
  </r>
  <r>
    <d v="2019-02-15T00:00:00"/>
    <x v="1"/>
    <x v="1"/>
    <x v="16"/>
    <n v="122"/>
    <n v="60770"/>
    <n v="60000"/>
  </r>
  <r>
    <d v="2019-02-15T00:00:00"/>
    <x v="1"/>
    <x v="1"/>
    <x v="1"/>
    <n v="590"/>
    <n v="294860"/>
    <n v="0"/>
  </r>
  <r>
    <d v="2019-02-15T00:00:00"/>
    <x v="1"/>
    <x v="1"/>
    <x v="2"/>
    <n v="1106"/>
    <n v="553030"/>
    <n v="45000"/>
  </r>
  <r>
    <d v="2019-02-15T00:00:00"/>
    <x v="1"/>
    <x v="1"/>
    <x v="3"/>
    <n v="122"/>
    <n v="60960"/>
    <n v="0"/>
  </r>
  <r>
    <d v="2019-02-15T00:00:00"/>
    <x v="1"/>
    <x v="1"/>
    <x v="1"/>
    <n v="711"/>
    <n v="355360"/>
    <n v="227000"/>
  </r>
  <r>
    <d v="2019-02-15T00:00:00"/>
    <x v="1"/>
    <x v="1"/>
    <x v="1"/>
    <n v="565"/>
    <n v="282510"/>
    <n v="0"/>
  </r>
  <r>
    <d v="2019-02-15T00:00:00"/>
    <x v="1"/>
    <x v="1"/>
    <x v="3"/>
    <n v="552"/>
    <n v="275780"/>
    <n v="76200"/>
  </r>
  <r>
    <d v="2019-02-15T00:00:00"/>
    <x v="1"/>
    <x v="1"/>
    <x v="1"/>
    <n v="753"/>
    <n v="376420"/>
    <n v="75000"/>
  </r>
  <r>
    <d v="2019-02-15T00:00:00"/>
    <x v="1"/>
    <x v="1"/>
    <x v="1"/>
    <n v="513"/>
    <n v="256270"/>
    <n v="260000"/>
  </r>
  <r>
    <d v="2019-02-15T00:00:00"/>
    <x v="1"/>
    <x v="1"/>
    <x v="2"/>
    <n v="42"/>
    <n v="20960"/>
    <n v="0"/>
  </r>
  <r>
    <d v="2019-02-15T00:00:00"/>
    <x v="1"/>
    <x v="1"/>
    <x v="8"/>
    <n v="126"/>
    <n v="62830"/>
    <n v="70000"/>
  </r>
  <r>
    <d v="2019-02-15T00:00:00"/>
    <x v="1"/>
    <x v="1"/>
    <x v="16"/>
    <n v="1118"/>
    <n v="559150"/>
    <n v="0"/>
  </r>
  <r>
    <d v="2019-02-15T00:00:00"/>
    <x v="1"/>
    <x v="1"/>
    <x v="5"/>
    <n v="431"/>
    <n v="215470"/>
    <n v="0"/>
  </r>
  <r>
    <d v="2019-02-15T00:00:00"/>
    <x v="1"/>
    <x v="1"/>
    <x v="1"/>
    <n v="197"/>
    <n v="98600"/>
    <n v="220000"/>
  </r>
  <r>
    <d v="2019-02-15T00:00:00"/>
    <x v="1"/>
    <x v="1"/>
    <x v="4"/>
    <n v="357"/>
    <n v="178530"/>
    <n v="0"/>
  </r>
  <r>
    <d v="2019-02-15T00:00:00"/>
    <x v="1"/>
    <x v="1"/>
    <x v="12"/>
    <n v="51"/>
    <n v="25520"/>
    <n v="10000"/>
  </r>
  <r>
    <d v="2019-02-15T00:00:00"/>
    <x v="1"/>
    <x v="1"/>
    <x v="14"/>
    <n v="176"/>
    <n v="88000"/>
    <n v="0"/>
  </r>
  <r>
    <d v="2019-02-15T00:00:00"/>
    <x v="1"/>
    <x v="1"/>
    <x v="9"/>
    <n v="297"/>
    <n v="148610"/>
    <n v="50000"/>
  </r>
  <r>
    <d v="2019-02-15T00:00:00"/>
    <x v="1"/>
    <x v="3"/>
    <x v="17"/>
    <n v="314"/>
    <n v="156945"/>
    <n v="25000"/>
  </r>
  <r>
    <d v="2019-02-15T00:00:00"/>
    <x v="1"/>
    <x v="3"/>
    <x v="11"/>
    <n v="185"/>
    <n v="92275"/>
    <n v="0"/>
  </r>
  <r>
    <d v="2019-02-15T00:00:00"/>
    <x v="1"/>
    <x v="3"/>
    <x v="4"/>
    <n v="290"/>
    <n v="144785"/>
    <n v="100000"/>
  </r>
  <r>
    <d v="2019-02-15T00:00:00"/>
    <x v="1"/>
    <x v="3"/>
    <x v="11"/>
    <n v="399"/>
    <n v="199335"/>
    <n v="100000"/>
  </r>
  <r>
    <d v="2019-02-15T00:00:00"/>
    <x v="1"/>
    <x v="3"/>
    <x v="2"/>
    <n v="2729"/>
    <n v="1364395"/>
    <n v="100000"/>
  </r>
  <r>
    <d v="2019-02-15T00:00:00"/>
    <x v="1"/>
    <x v="3"/>
    <x v="1"/>
    <n v="562"/>
    <n v="281055"/>
    <n v="0"/>
  </r>
  <r>
    <d v="2019-02-15T00:00:00"/>
    <x v="1"/>
    <x v="3"/>
    <x v="8"/>
    <n v="216"/>
    <n v="108130"/>
    <n v="82000"/>
  </r>
  <r>
    <d v="2019-02-15T00:00:00"/>
    <x v="1"/>
    <x v="3"/>
    <x v="3"/>
    <n v="123"/>
    <n v="61480"/>
    <n v="45000"/>
  </r>
  <r>
    <d v="2019-02-15T00:00:00"/>
    <x v="1"/>
    <x v="3"/>
    <x v="4"/>
    <n v="358"/>
    <n v="179110"/>
    <n v="45000"/>
  </r>
  <r>
    <d v="2019-02-15T00:00:00"/>
    <x v="1"/>
    <x v="3"/>
    <x v="9"/>
    <n v="36"/>
    <n v="18000"/>
    <n v="0"/>
  </r>
  <r>
    <d v="2019-02-15T00:00:00"/>
    <x v="1"/>
    <x v="3"/>
    <x v="6"/>
    <n v="305"/>
    <n v="152470"/>
    <n v="0"/>
  </r>
  <r>
    <d v="2019-02-15T00:00:00"/>
    <x v="1"/>
    <x v="3"/>
    <x v="11"/>
    <n v="988"/>
    <n v="494030"/>
    <n v="0"/>
  </r>
  <r>
    <d v="2019-02-15T00:00:00"/>
    <x v="1"/>
    <x v="3"/>
    <x v="10"/>
    <n v="25"/>
    <n v="12435"/>
    <n v="10000"/>
  </r>
  <r>
    <d v="2019-02-15T00:00:00"/>
    <x v="1"/>
    <x v="3"/>
    <x v="4"/>
    <n v="224"/>
    <n v="111985"/>
    <n v="0"/>
  </r>
  <r>
    <d v="2019-02-15T00:00:00"/>
    <x v="1"/>
    <x v="3"/>
    <x v="8"/>
    <n v="292"/>
    <n v="146000"/>
    <n v="0"/>
  </r>
  <r>
    <d v="2019-02-15T00:00:00"/>
    <x v="1"/>
    <x v="3"/>
    <x v="1"/>
    <n v="394"/>
    <n v="196895"/>
    <n v="50000"/>
  </r>
  <r>
    <d v="2019-02-15T00:00:00"/>
    <x v="1"/>
    <x v="3"/>
    <x v="14"/>
    <n v="77"/>
    <n v="38615"/>
    <n v="0"/>
  </r>
  <r>
    <d v="2019-02-15T00:00:00"/>
    <x v="1"/>
    <x v="3"/>
    <x v="13"/>
    <n v="166"/>
    <n v="82935"/>
    <n v="0"/>
  </r>
  <r>
    <d v="2019-02-15T00:00:00"/>
    <x v="1"/>
    <x v="3"/>
    <x v="2"/>
    <n v="309"/>
    <n v="154580"/>
    <n v="0"/>
  </r>
  <r>
    <d v="2019-02-16T00:00:00"/>
    <x v="1"/>
    <x v="2"/>
    <x v="2"/>
    <n v="493"/>
    <n v="246420"/>
    <n v="164000"/>
  </r>
  <r>
    <d v="2019-02-16T00:00:00"/>
    <x v="1"/>
    <x v="0"/>
    <x v="0"/>
    <n v="276"/>
    <n v="138225"/>
    <n v="0"/>
  </r>
  <r>
    <d v="2019-02-16T00:00:00"/>
    <x v="1"/>
    <x v="0"/>
    <x v="13"/>
    <n v="112"/>
    <n v="56225"/>
    <n v="10000"/>
  </r>
  <r>
    <d v="2019-02-16T00:00:00"/>
    <x v="1"/>
    <x v="0"/>
    <x v="7"/>
    <n v="186"/>
    <n v="93029"/>
    <n v="0"/>
  </r>
  <r>
    <d v="2019-02-17T00:00:00"/>
    <x v="1"/>
    <x v="0"/>
    <x v="2"/>
    <n v="171"/>
    <n v="85310"/>
    <n v="0"/>
  </r>
  <r>
    <d v="2019-02-17T00:00:00"/>
    <x v="1"/>
    <x v="0"/>
    <x v="0"/>
    <n v="91"/>
    <n v="45430"/>
    <n v="70000"/>
  </r>
  <r>
    <d v="2019-02-17T00:00:00"/>
    <x v="1"/>
    <x v="0"/>
    <x v="14"/>
    <n v="206"/>
    <n v="102758"/>
    <n v="0"/>
  </r>
  <r>
    <d v="2019-02-17T00:00:00"/>
    <x v="1"/>
    <x v="0"/>
    <x v="2"/>
    <n v="40"/>
    <n v="20160"/>
    <n v="0"/>
  </r>
  <r>
    <d v="2019-02-17T00:00:00"/>
    <x v="1"/>
    <x v="0"/>
    <x v="0"/>
    <n v="607"/>
    <n v="303693"/>
    <n v="100000"/>
  </r>
  <r>
    <d v="2019-02-18T00:00:00"/>
    <x v="1"/>
    <x v="2"/>
    <x v="1"/>
    <n v="55"/>
    <n v="27390"/>
    <n v="0"/>
  </r>
  <r>
    <d v="2019-02-18T00:00:00"/>
    <x v="1"/>
    <x v="2"/>
    <x v="2"/>
    <n v="46"/>
    <n v="23090"/>
    <n v="23115"/>
  </r>
  <r>
    <d v="2019-02-18T00:00:00"/>
    <x v="1"/>
    <x v="0"/>
    <x v="2"/>
    <n v="127"/>
    <n v="63489"/>
    <n v="0"/>
  </r>
  <r>
    <d v="2019-02-20T00:00:00"/>
    <x v="1"/>
    <x v="0"/>
    <x v="4"/>
    <n v="134"/>
    <n v="66940"/>
    <n v="0"/>
  </r>
  <r>
    <d v="2019-02-20T00:00:00"/>
    <x v="1"/>
    <x v="0"/>
    <x v="4"/>
    <n v="295"/>
    <n v="147740"/>
    <n v="0"/>
  </r>
  <r>
    <d v="2019-02-20T00:00:00"/>
    <x v="1"/>
    <x v="0"/>
    <x v="0"/>
    <n v="600"/>
    <n v="299996"/>
    <n v="110000"/>
  </r>
  <r>
    <d v="2019-02-20T00:00:00"/>
    <x v="1"/>
    <x v="0"/>
    <x v="1"/>
    <n v="50"/>
    <n v="25240"/>
    <n v="10000"/>
  </r>
  <r>
    <d v="2019-02-20T00:00:00"/>
    <x v="1"/>
    <x v="0"/>
    <x v="2"/>
    <n v="45"/>
    <n v="22676"/>
    <n v="0"/>
  </r>
  <r>
    <d v="2019-02-20T00:00:00"/>
    <x v="1"/>
    <x v="0"/>
    <x v="0"/>
    <n v="459"/>
    <n v="229368"/>
    <n v="0"/>
  </r>
  <r>
    <d v="2019-02-22T00:00:00"/>
    <x v="1"/>
    <x v="2"/>
    <x v="4"/>
    <n v="158"/>
    <n v="78880"/>
    <n v="30000"/>
  </r>
  <r>
    <d v="2019-02-22T00:00:00"/>
    <x v="1"/>
    <x v="2"/>
    <x v="3"/>
    <n v="81"/>
    <n v="40695"/>
    <n v="0"/>
  </r>
  <r>
    <d v="2019-02-22T00:00:00"/>
    <x v="1"/>
    <x v="2"/>
    <x v="2"/>
    <n v="181"/>
    <n v="90410"/>
    <n v="20000"/>
  </r>
  <r>
    <d v="2019-02-22T00:00:00"/>
    <x v="1"/>
    <x v="0"/>
    <x v="8"/>
    <n v="30"/>
    <n v="14800"/>
    <n v="12000"/>
  </r>
  <r>
    <d v="2019-02-22T00:00:00"/>
    <x v="1"/>
    <x v="0"/>
    <x v="2"/>
    <n v="149"/>
    <n v="74722"/>
    <n v="3000"/>
  </r>
  <r>
    <d v="2019-02-22T00:00:00"/>
    <x v="1"/>
    <x v="1"/>
    <x v="1"/>
    <n v="396"/>
    <n v="197840"/>
    <n v="370000"/>
  </r>
  <r>
    <d v="2019-02-22T00:00:00"/>
    <x v="1"/>
    <x v="1"/>
    <x v="12"/>
    <n v="32"/>
    <n v="15950"/>
    <n v="46000"/>
  </r>
  <r>
    <d v="2019-02-22T00:00:00"/>
    <x v="1"/>
    <x v="1"/>
    <x v="8"/>
    <n v="819"/>
    <n v="409420"/>
    <n v="71000"/>
  </r>
  <r>
    <d v="2019-02-22T00:00:00"/>
    <x v="1"/>
    <x v="1"/>
    <x v="7"/>
    <n v="769"/>
    <n v="384720"/>
    <n v="0"/>
  </r>
  <r>
    <d v="2019-02-22T00:00:00"/>
    <x v="1"/>
    <x v="1"/>
    <x v="1"/>
    <n v="535"/>
    <n v="267270"/>
    <n v="62400"/>
  </r>
  <r>
    <d v="2019-02-22T00:00:00"/>
    <x v="1"/>
    <x v="1"/>
    <x v="11"/>
    <n v="1803"/>
    <n v="901400"/>
    <n v="550000"/>
  </r>
  <r>
    <d v="2019-02-22T00:00:00"/>
    <x v="1"/>
    <x v="1"/>
    <x v="11"/>
    <n v="2421"/>
    <n v="1210620"/>
    <n v="182400"/>
  </r>
  <r>
    <d v="2019-02-22T00:00:00"/>
    <x v="1"/>
    <x v="1"/>
    <x v="4"/>
    <n v="2603"/>
    <n v="1301380"/>
    <n v="727000"/>
  </r>
  <r>
    <d v="2019-02-22T00:00:00"/>
    <x v="1"/>
    <x v="1"/>
    <x v="4"/>
    <n v="1659"/>
    <n v="829720"/>
    <n v="153000"/>
  </r>
  <r>
    <d v="2019-02-22T00:00:00"/>
    <x v="1"/>
    <x v="1"/>
    <x v="4"/>
    <n v="285"/>
    <n v="142430"/>
    <n v="119000"/>
  </r>
  <r>
    <d v="2019-02-22T00:00:00"/>
    <x v="1"/>
    <x v="1"/>
    <x v="2"/>
    <n v="352"/>
    <n v="175950"/>
    <n v="187030"/>
  </r>
  <r>
    <d v="2019-02-22T00:00:00"/>
    <x v="1"/>
    <x v="1"/>
    <x v="0"/>
    <n v="687"/>
    <n v="343610"/>
    <n v="897430"/>
  </r>
  <r>
    <d v="2019-02-22T00:00:00"/>
    <x v="1"/>
    <x v="1"/>
    <x v="5"/>
    <n v="208"/>
    <n v="104010"/>
    <n v="20000"/>
  </r>
  <r>
    <d v="2019-02-22T00:00:00"/>
    <x v="1"/>
    <x v="1"/>
    <x v="5"/>
    <n v="255"/>
    <n v="127400"/>
    <n v="165000"/>
  </r>
  <r>
    <d v="2019-02-22T00:00:00"/>
    <x v="1"/>
    <x v="1"/>
    <x v="8"/>
    <n v="52"/>
    <n v="25870"/>
    <n v="30000"/>
  </r>
  <r>
    <d v="2019-02-22T00:00:00"/>
    <x v="1"/>
    <x v="1"/>
    <x v="3"/>
    <n v="245"/>
    <n v="122700"/>
    <n v="35000"/>
  </r>
  <r>
    <d v="2019-02-22T00:00:00"/>
    <x v="1"/>
    <x v="1"/>
    <x v="16"/>
    <n v="158"/>
    <n v="79040"/>
    <n v="80000"/>
  </r>
  <r>
    <d v="2019-02-22T00:00:00"/>
    <x v="1"/>
    <x v="1"/>
    <x v="2"/>
    <n v="217"/>
    <n v="108590"/>
    <n v="94400"/>
  </r>
  <r>
    <d v="2019-02-22T00:00:00"/>
    <x v="1"/>
    <x v="1"/>
    <x v="1"/>
    <n v="601"/>
    <n v="300590"/>
    <n v="50000"/>
  </r>
  <r>
    <d v="2019-02-22T00:00:00"/>
    <x v="1"/>
    <x v="1"/>
    <x v="4"/>
    <n v="1817"/>
    <n v="908700"/>
    <n v="183100"/>
  </r>
  <r>
    <d v="2019-02-22T00:00:00"/>
    <x v="1"/>
    <x v="1"/>
    <x v="8"/>
    <n v="119"/>
    <n v="59630"/>
    <n v="75000"/>
  </r>
  <r>
    <d v="2019-02-22T00:00:00"/>
    <x v="1"/>
    <x v="1"/>
    <x v="1"/>
    <n v="2352"/>
    <n v="1175960"/>
    <n v="209000"/>
  </r>
  <r>
    <d v="2019-02-22T00:00:00"/>
    <x v="1"/>
    <x v="1"/>
    <x v="1"/>
    <n v="335"/>
    <n v="167620"/>
    <n v="0"/>
  </r>
  <r>
    <d v="2019-02-22T00:00:00"/>
    <x v="1"/>
    <x v="1"/>
    <x v="4"/>
    <n v="314"/>
    <n v="156900"/>
    <n v="0"/>
  </r>
  <r>
    <d v="2019-02-22T00:00:00"/>
    <x v="1"/>
    <x v="1"/>
    <x v="17"/>
    <n v="159"/>
    <n v="79460"/>
    <n v="45100"/>
  </r>
  <r>
    <d v="2019-02-22T00:00:00"/>
    <x v="1"/>
    <x v="1"/>
    <x v="6"/>
    <n v="118"/>
    <n v="58760"/>
    <n v="46690"/>
  </r>
  <r>
    <d v="2019-02-22T00:00:00"/>
    <x v="1"/>
    <x v="1"/>
    <x v="1"/>
    <n v="297"/>
    <n v="148500"/>
    <n v="0"/>
  </r>
  <r>
    <d v="2019-02-22T00:00:00"/>
    <x v="1"/>
    <x v="1"/>
    <x v="13"/>
    <n v="47"/>
    <n v="23380"/>
    <n v="20000"/>
  </r>
  <r>
    <d v="2019-02-22T00:00:00"/>
    <x v="1"/>
    <x v="1"/>
    <x v="10"/>
    <n v="480"/>
    <n v="240250"/>
    <n v="0"/>
  </r>
  <r>
    <d v="2019-02-22T00:00:00"/>
    <x v="1"/>
    <x v="1"/>
    <x v="14"/>
    <n v="92"/>
    <n v="46000"/>
    <n v="26000"/>
  </r>
  <r>
    <d v="2019-02-22T00:00:00"/>
    <x v="1"/>
    <x v="3"/>
    <x v="0"/>
    <n v="146"/>
    <n v="73175"/>
    <n v="0"/>
  </r>
  <r>
    <d v="2019-02-22T00:00:00"/>
    <x v="1"/>
    <x v="3"/>
    <x v="4"/>
    <n v="793"/>
    <n v="396415"/>
    <n v="70000"/>
  </r>
  <r>
    <d v="2019-02-22T00:00:00"/>
    <x v="1"/>
    <x v="3"/>
    <x v="11"/>
    <n v="90"/>
    <n v="44900"/>
    <n v="55000"/>
  </r>
  <r>
    <d v="2019-02-22T00:00:00"/>
    <x v="1"/>
    <x v="3"/>
    <x v="1"/>
    <n v="508"/>
    <n v="254240"/>
    <n v="50000"/>
  </r>
  <r>
    <d v="2019-02-22T00:00:00"/>
    <x v="1"/>
    <x v="3"/>
    <x v="8"/>
    <n v="328"/>
    <n v="164020"/>
    <n v="73000"/>
  </r>
  <r>
    <d v="2019-02-22T00:00:00"/>
    <x v="1"/>
    <x v="3"/>
    <x v="3"/>
    <n v="134"/>
    <n v="67115"/>
    <n v="50000"/>
  </r>
  <r>
    <d v="2019-02-22T00:00:00"/>
    <x v="1"/>
    <x v="3"/>
    <x v="4"/>
    <n v="248"/>
    <n v="124200"/>
    <n v="0"/>
  </r>
  <r>
    <d v="2019-02-22T00:00:00"/>
    <x v="1"/>
    <x v="3"/>
    <x v="4"/>
    <n v="107"/>
    <n v="53525"/>
    <n v="5000"/>
  </r>
  <r>
    <d v="2019-02-22T00:00:00"/>
    <x v="1"/>
    <x v="3"/>
    <x v="7"/>
    <n v="121"/>
    <n v="60350"/>
    <n v="0"/>
  </r>
  <r>
    <d v="2019-02-22T00:00:00"/>
    <x v="1"/>
    <x v="3"/>
    <x v="4"/>
    <n v="238"/>
    <n v="119210"/>
    <n v="0"/>
  </r>
  <r>
    <d v="2019-02-22T00:00:00"/>
    <x v="1"/>
    <x v="3"/>
    <x v="11"/>
    <n v="775"/>
    <n v="387460"/>
    <n v="265000"/>
  </r>
  <r>
    <d v="2019-02-22T00:00:00"/>
    <x v="1"/>
    <x v="3"/>
    <x v="2"/>
    <n v="116"/>
    <n v="58065"/>
    <n v="70000"/>
  </r>
  <r>
    <d v="2019-02-22T00:00:00"/>
    <x v="1"/>
    <x v="3"/>
    <x v="1"/>
    <n v="173"/>
    <n v="86720"/>
    <n v="10060"/>
  </r>
  <r>
    <d v="2019-02-22T00:00:00"/>
    <x v="1"/>
    <x v="3"/>
    <x v="15"/>
    <n v="20"/>
    <n v="10190"/>
    <n v="10000"/>
  </r>
  <r>
    <d v="2019-02-22T00:00:00"/>
    <x v="1"/>
    <x v="3"/>
    <x v="16"/>
    <n v="37"/>
    <n v="18610"/>
    <n v="8000"/>
  </r>
  <r>
    <d v="2019-02-22T00:00:00"/>
    <x v="1"/>
    <x v="3"/>
    <x v="10"/>
    <n v="191"/>
    <n v="95505"/>
    <n v="54000"/>
  </r>
  <r>
    <d v="2019-02-22T00:00:00"/>
    <x v="1"/>
    <x v="3"/>
    <x v="8"/>
    <n v="32"/>
    <n v="15815"/>
    <n v="20000"/>
  </r>
  <r>
    <d v="2019-02-22T00:00:00"/>
    <x v="1"/>
    <x v="3"/>
    <x v="4"/>
    <n v="259"/>
    <n v="129375"/>
    <n v="100000"/>
  </r>
  <r>
    <d v="2019-02-22T00:00:00"/>
    <x v="1"/>
    <x v="3"/>
    <x v="8"/>
    <n v="207"/>
    <n v="103325"/>
    <n v="0"/>
  </r>
  <r>
    <d v="2019-02-22T00:00:00"/>
    <x v="1"/>
    <x v="3"/>
    <x v="7"/>
    <n v="1546"/>
    <n v="773110"/>
    <n v="85000"/>
  </r>
  <r>
    <d v="2019-02-22T00:00:00"/>
    <x v="1"/>
    <x v="3"/>
    <x v="14"/>
    <n v="223"/>
    <n v="111370"/>
    <n v="50000"/>
  </r>
  <r>
    <d v="2019-02-22T00:00:00"/>
    <x v="1"/>
    <x v="3"/>
    <x v="12"/>
    <n v="108"/>
    <n v="54000"/>
    <n v="0"/>
  </r>
  <r>
    <d v="2019-02-22T00:00:00"/>
    <x v="1"/>
    <x v="3"/>
    <x v="3"/>
    <n v="107"/>
    <n v="53625"/>
    <n v="10000"/>
  </r>
  <r>
    <d v="2019-02-22T00:00:00"/>
    <x v="1"/>
    <x v="3"/>
    <x v="11"/>
    <n v="193"/>
    <n v="96445"/>
    <n v="50000"/>
  </r>
  <r>
    <d v="2019-02-23T00:00:00"/>
    <x v="1"/>
    <x v="2"/>
    <x v="8"/>
    <n v="170"/>
    <n v="85155"/>
    <n v="90000"/>
  </r>
  <r>
    <d v="2019-02-23T00:00:00"/>
    <x v="1"/>
    <x v="2"/>
    <x v="2"/>
    <n v="65"/>
    <n v="32640"/>
    <n v="10000"/>
  </r>
  <r>
    <d v="2019-02-23T00:00:00"/>
    <x v="1"/>
    <x v="0"/>
    <x v="11"/>
    <n v="180"/>
    <n v="90088"/>
    <n v="0"/>
  </r>
  <r>
    <d v="2019-02-23T00:00:00"/>
    <x v="1"/>
    <x v="0"/>
    <x v="2"/>
    <n v="17"/>
    <n v="8280"/>
    <n v="0"/>
  </r>
  <r>
    <d v="2019-02-23T00:00:00"/>
    <x v="1"/>
    <x v="0"/>
    <x v="0"/>
    <n v="36"/>
    <n v="18040"/>
    <n v="0"/>
  </r>
  <r>
    <d v="2019-02-24T00:00:00"/>
    <x v="1"/>
    <x v="2"/>
    <x v="3"/>
    <n v="118"/>
    <n v="59000"/>
    <n v="0"/>
  </r>
  <r>
    <d v="2019-02-24T00:00:00"/>
    <x v="1"/>
    <x v="2"/>
    <x v="7"/>
    <n v="37"/>
    <n v="18650"/>
    <n v="18650"/>
  </r>
  <r>
    <d v="2019-02-24T00:00:00"/>
    <x v="1"/>
    <x v="2"/>
    <x v="2"/>
    <n v="52"/>
    <n v="26170"/>
    <n v="10000"/>
  </r>
  <r>
    <d v="2019-02-24T00:00:00"/>
    <x v="1"/>
    <x v="2"/>
    <x v="11"/>
    <n v="82"/>
    <n v="41200"/>
    <n v="20200"/>
  </r>
  <r>
    <d v="2019-02-24T00:00:00"/>
    <x v="1"/>
    <x v="0"/>
    <x v="1"/>
    <n v="208"/>
    <n v="104175"/>
    <n v="22335"/>
  </r>
  <r>
    <d v="2019-02-24T00:00:00"/>
    <x v="1"/>
    <x v="0"/>
    <x v="6"/>
    <n v="210"/>
    <n v="105050"/>
    <n v="0"/>
  </r>
  <r>
    <d v="2019-02-25T00:00:00"/>
    <x v="1"/>
    <x v="2"/>
    <x v="9"/>
    <n v="274"/>
    <n v="137250"/>
    <n v="20000"/>
  </r>
  <r>
    <d v="2019-02-25T00:00:00"/>
    <x v="1"/>
    <x v="2"/>
    <x v="3"/>
    <n v="26"/>
    <n v="13140"/>
    <n v="13140"/>
  </r>
  <r>
    <d v="2019-02-25T00:00:00"/>
    <x v="1"/>
    <x v="2"/>
    <x v="3"/>
    <n v="68"/>
    <n v="33900"/>
    <n v="33900"/>
  </r>
  <r>
    <d v="2019-02-25T00:00:00"/>
    <x v="1"/>
    <x v="0"/>
    <x v="4"/>
    <n v="521"/>
    <n v="260571"/>
    <n v="0"/>
  </r>
  <r>
    <d v="2019-02-25T00:00:00"/>
    <x v="1"/>
    <x v="0"/>
    <x v="5"/>
    <n v="40"/>
    <n v="20020"/>
    <n v="20000"/>
  </r>
  <r>
    <d v="2019-02-25T00:00:00"/>
    <x v="1"/>
    <x v="0"/>
    <x v="5"/>
    <n v="41"/>
    <n v="20320"/>
    <n v="0"/>
  </r>
  <r>
    <d v="2019-02-25T00:00:00"/>
    <x v="1"/>
    <x v="0"/>
    <x v="11"/>
    <n v="154"/>
    <n v="77174"/>
    <n v="0"/>
  </r>
  <r>
    <d v="2019-02-25T00:00:00"/>
    <x v="1"/>
    <x v="0"/>
    <x v="4"/>
    <n v="167"/>
    <n v="83500"/>
    <n v="0"/>
  </r>
  <r>
    <d v="2019-02-27T00:00:00"/>
    <x v="1"/>
    <x v="2"/>
    <x v="2"/>
    <n v="153"/>
    <n v="76525"/>
    <n v="37000"/>
  </r>
  <r>
    <d v="2019-02-27T00:00:00"/>
    <x v="1"/>
    <x v="2"/>
    <x v="8"/>
    <n v="162"/>
    <n v="81120"/>
    <n v="12600"/>
  </r>
  <r>
    <d v="2019-02-27T00:00:00"/>
    <x v="1"/>
    <x v="0"/>
    <x v="8"/>
    <n v="136"/>
    <n v="67840"/>
    <n v="0"/>
  </r>
  <r>
    <d v="2019-02-27T00:00:00"/>
    <x v="1"/>
    <x v="0"/>
    <x v="5"/>
    <n v="63"/>
    <n v="31480"/>
    <n v="11480"/>
  </r>
  <r>
    <d v="2019-02-27T00:00:00"/>
    <x v="1"/>
    <x v="0"/>
    <x v="0"/>
    <n v="53"/>
    <n v="26560"/>
    <n v="560"/>
  </r>
  <r>
    <d v="2019-02-28T00:00:00"/>
    <x v="1"/>
    <x v="2"/>
    <x v="2"/>
    <n v="11"/>
    <n v="5650"/>
    <n v="5000"/>
  </r>
  <r>
    <d v="2019-02-28T00:00:00"/>
    <x v="1"/>
    <x v="2"/>
    <x v="14"/>
    <n v="118"/>
    <n v="58870"/>
    <n v="870"/>
  </r>
  <r>
    <d v="2019-02-28T00:00:00"/>
    <x v="1"/>
    <x v="2"/>
    <x v="7"/>
    <n v="31"/>
    <n v="15405"/>
    <n v="0"/>
  </r>
  <r>
    <d v="2019-02-28T00:00:00"/>
    <x v="1"/>
    <x v="0"/>
    <x v="8"/>
    <n v="179"/>
    <n v="89330"/>
    <n v="0"/>
  </r>
  <r>
    <d v="2019-02-28T00:00:00"/>
    <x v="1"/>
    <x v="0"/>
    <x v="10"/>
    <n v="233"/>
    <n v="116375"/>
    <n v="0"/>
  </r>
  <r>
    <d v="2019-02-28T00:00:00"/>
    <x v="1"/>
    <x v="0"/>
    <x v="0"/>
    <n v="507"/>
    <n v="253264"/>
    <n v="0"/>
  </r>
  <r>
    <d v="2019-02-28T00:00:00"/>
    <x v="1"/>
    <x v="0"/>
    <x v="8"/>
    <n v="520"/>
    <n v="260030"/>
    <n v="0"/>
  </r>
  <r>
    <d v="2019-02-28T00:00:00"/>
    <x v="1"/>
    <x v="0"/>
    <x v="0"/>
    <n v="341"/>
    <n v="170260"/>
    <n v="50000"/>
  </r>
  <r>
    <d v="2019-02-28T00:00:00"/>
    <x v="1"/>
    <x v="0"/>
    <x v="4"/>
    <n v="36"/>
    <n v="18000"/>
    <n v="2000"/>
  </r>
  <r>
    <d v="2019-01-06T00:00:00"/>
    <x v="2"/>
    <x v="0"/>
    <x v="4"/>
    <n v="908"/>
    <n v="454097"/>
    <n v="0"/>
  </r>
  <r>
    <d v="2019-01-10T00:00:00"/>
    <x v="2"/>
    <x v="0"/>
    <x v="4"/>
    <n v="4366"/>
    <n v="2183027"/>
    <n v="0"/>
  </r>
  <r>
    <d v="2019-01-11T00:00:00"/>
    <x v="2"/>
    <x v="0"/>
    <x v="4"/>
    <n v="153"/>
    <n v="76410"/>
    <n v="0"/>
  </r>
  <r>
    <d v="2019-01-23T00:00:00"/>
    <x v="2"/>
    <x v="0"/>
    <x v="4"/>
    <n v="431"/>
    <n v="215400"/>
    <n v="0"/>
  </r>
  <r>
    <d v="2019-01-04T00:00:00"/>
    <x v="2"/>
    <x v="0"/>
    <x v="11"/>
    <n v="220"/>
    <n v="110184"/>
    <n v="0"/>
  </r>
  <r>
    <d v="2019-01-09T00:00:00"/>
    <x v="2"/>
    <x v="0"/>
    <x v="11"/>
    <n v="557"/>
    <n v="278545"/>
    <n v="0"/>
  </r>
  <r>
    <d v="2019-01-11T00:00:00"/>
    <x v="2"/>
    <x v="0"/>
    <x v="11"/>
    <n v="206"/>
    <n v="103215"/>
    <n v="0"/>
  </r>
  <r>
    <d v="2019-01-05T00:00:00"/>
    <x v="2"/>
    <x v="0"/>
    <x v="13"/>
    <n v="467"/>
    <n v="233671"/>
    <n v="0"/>
  </r>
  <r>
    <d v="2019-01-11T00:00:00"/>
    <x v="2"/>
    <x v="0"/>
    <x v="13"/>
    <n v="78"/>
    <n v="39000"/>
    <n v="20000"/>
  </r>
  <r>
    <d v="2019-01-13T00:00:00"/>
    <x v="2"/>
    <x v="0"/>
    <x v="13"/>
    <n v="291"/>
    <n v="145672"/>
    <n v="0"/>
  </r>
  <r>
    <d v="2019-01-06T00:00:00"/>
    <x v="2"/>
    <x v="0"/>
    <x v="8"/>
    <n v="163"/>
    <n v="81530"/>
    <n v="0"/>
  </r>
  <r>
    <d v="2019-01-13T00:00:00"/>
    <x v="2"/>
    <x v="0"/>
    <x v="8"/>
    <n v="160"/>
    <n v="79764"/>
    <n v="0"/>
  </r>
  <r>
    <d v="2019-01-18T00:00:00"/>
    <x v="2"/>
    <x v="0"/>
    <x v="8"/>
    <n v="23"/>
    <n v="11685"/>
    <n v="185"/>
  </r>
  <r>
    <d v="2019-01-19T00:00:00"/>
    <x v="2"/>
    <x v="0"/>
    <x v="8"/>
    <n v="659"/>
    <n v="329515"/>
    <n v="10000"/>
  </r>
  <r>
    <d v="2019-01-03T00:00:00"/>
    <x v="2"/>
    <x v="0"/>
    <x v="0"/>
    <n v="1077"/>
    <n v="538689"/>
    <n v="0"/>
  </r>
  <r>
    <d v="2019-01-04T00:00:00"/>
    <x v="2"/>
    <x v="0"/>
    <x v="0"/>
    <n v="1432"/>
    <n v="715804"/>
    <n v="0"/>
  </r>
  <r>
    <d v="2019-01-05T00:00:00"/>
    <x v="2"/>
    <x v="0"/>
    <x v="0"/>
    <n v="239"/>
    <n v="119665"/>
    <n v="0"/>
  </r>
  <r>
    <d v="2019-01-06T00:00:00"/>
    <x v="2"/>
    <x v="0"/>
    <x v="0"/>
    <n v="570"/>
    <n v="285145"/>
    <n v="0"/>
  </r>
  <r>
    <d v="2019-01-07T00:00:00"/>
    <x v="2"/>
    <x v="0"/>
    <x v="0"/>
    <n v="535"/>
    <n v="267550"/>
    <n v="0"/>
  </r>
  <r>
    <d v="2019-01-10T00:00:00"/>
    <x v="2"/>
    <x v="0"/>
    <x v="0"/>
    <n v="360"/>
    <n v="180045"/>
    <n v="50000"/>
  </r>
  <r>
    <d v="2019-01-13T00:00:00"/>
    <x v="2"/>
    <x v="0"/>
    <x v="0"/>
    <n v="233"/>
    <n v="116599"/>
    <n v="32000"/>
  </r>
  <r>
    <d v="2019-01-14T00:00:00"/>
    <x v="2"/>
    <x v="0"/>
    <x v="0"/>
    <n v="82"/>
    <n v="41078"/>
    <n v="5150"/>
  </r>
  <r>
    <d v="2019-01-17T00:00:00"/>
    <x v="2"/>
    <x v="0"/>
    <x v="0"/>
    <n v="250"/>
    <n v="125115"/>
    <n v="0"/>
  </r>
  <r>
    <d v="2019-01-18T00:00:00"/>
    <x v="2"/>
    <x v="0"/>
    <x v="0"/>
    <n v="231"/>
    <n v="115373"/>
    <n v="0"/>
  </r>
  <r>
    <d v="2019-01-19T00:00:00"/>
    <x v="2"/>
    <x v="0"/>
    <x v="0"/>
    <n v="37"/>
    <n v="18630"/>
    <n v="0"/>
  </r>
  <r>
    <d v="2019-01-21T00:00:00"/>
    <x v="2"/>
    <x v="0"/>
    <x v="0"/>
    <n v="36"/>
    <n v="18135"/>
    <n v="0"/>
  </r>
  <r>
    <d v="2019-01-23T00:00:00"/>
    <x v="2"/>
    <x v="0"/>
    <x v="0"/>
    <n v="146"/>
    <n v="72885"/>
    <n v="9765"/>
  </r>
  <r>
    <d v="2019-01-24T00:00:00"/>
    <x v="2"/>
    <x v="0"/>
    <x v="0"/>
    <n v="101"/>
    <n v="50324"/>
    <n v="0"/>
  </r>
  <r>
    <d v="2019-01-25T00:00:00"/>
    <x v="2"/>
    <x v="0"/>
    <x v="0"/>
    <n v="145"/>
    <n v="72305"/>
    <n v="55000"/>
  </r>
  <r>
    <d v="2019-01-31T00:00:00"/>
    <x v="2"/>
    <x v="0"/>
    <x v="0"/>
    <n v="324"/>
    <n v="162155"/>
    <n v="790"/>
  </r>
  <r>
    <d v="2019-01-13T00:00:00"/>
    <x v="2"/>
    <x v="0"/>
    <x v="14"/>
    <n v="125"/>
    <n v="62600"/>
    <n v="32600"/>
  </r>
  <r>
    <d v="2019-01-03T00:00:00"/>
    <x v="2"/>
    <x v="0"/>
    <x v="2"/>
    <n v="352"/>
    <n v="176065"/>
    <n v="20000"/>
  </r>
  <r>
    <d v="2019-01-05T00:00:00"/>
    <x v="2"/>
    <x v="0"/>
    <x v="2"/>
    <n v="430"/>
    <n v="214817"/>
    <n v="0"/>
  </r>
  <r>
    <d v="2019-01-06T00:00:00"/>
    <x v="2"/>
    <x v="0"/>
    <x v="2"/>
    <n v="206"/>
    <n v="102930"/>
    <n v="28900"/>
  </r>
  <r>
    <d v="2019-01-07T00:00:00"/>
    <x v="2"/>
    <x v="0"/>
    <x v="2"/>
    <n v="104"/>
    <n v="52235"/>
    <n v="0"/>
  </r>
  <r>
    <d v="2019-01-09T00:00:00"/>
    <x v="2"/>
    <x v="0"/>
    <x v="2"/>
    <n v="76"/>
    <n v="38230"/>
    <n v="0"/>
  </r>
  <r>
    <d v="2019-01-10T00:00:00"/>
    <x v="2"/>
    <x v="0"/>
    <x v="2"/>
    <n v="128"/>
    <n v="64100"/>
    <n v="0"/>
  </r>
  <r>
    <d v="2019-01-12T00:00:00"/>
    <x v="2"/>
    <x v="0"/>
    <x v="2"/>
    <n v="410"/>
    <n v="205125"/>
    <n v="15000"/>
  </r>
  <r>
    <d v="2019-01-13T00:00:00"/>
    <x v="2"/>
    <x v="0"/>
    <x v="2"/>
    <n v="954"/>
    <n v="476798"/>
    <n v="0"/>
  </r>
  <r>
    <d v="2019-01-14T00:00:00"/>
    <x v="2"/>
    <x v="0"/>
    <x v="2"/>
    <n v="57"/>
    <n v="28494"/>
    <n v="0"/>
  </r>
  <r>
    <d v="2019-01-18T00:00:00"/>
    <x v="2"/>
    <x v="0"/>
    <x v="2"/>
    <n v="13"/>
    <n v="6420"/>
    <n v="0"/>
  </r>
  <r>
    <d v="2019-01-20T00:00:00"/>
    <x v="2"/>
    <x v="0"/>
    <x v="2"/>
    <n v="110"/>
    <n v="54975"/>
    <n v="0"/>
  </r>
  <r>
    <d v="2019-01-21T00:00:00"/>
    <x v="2"/>
    <x v="0"/>
    <x v="2"/>
    <n v="28"/>
    <n v="13860"/>
    <n v="0"/>
  </r>
  <r>
    <d v="2019-01-26T00:00:00"/>
    <x v="2"/>
    <x v="0"/>
    <x v="2"/>
    <n v="287"/>
    <n v="143665"/>
    <n v="50000"/>
  </r>
  <r>
    <d v="2019-01-27T00:00:00"/>
    <x v="2"/>
    <x v="0"/>
    <x v="2"/>
    <n v="300"/>
    <n v="150147"/>
    <n v="0"/>
  </r>
  <r>
    <d v="2019-01-30T00:00:00"/>
    <x v="2"/>
    <x v="0"/>
    <x v="2"/>
    <n v="100"/>
    <n v="50000"/>
    <n v="0"/>
  </r>
  <r>
    <d v="2019-01-31T00:00:00"/>
    <x v="2"/>
    <x v="0"/>
    <x v="2"/>
    <n v="36"/>
    <n v="18137"/>
    <n v="21000"/>
  </r>
  <r>
    <d v="2019-01-09T00:00:00"/>
    <x v="2"/>
    <x v="0"/>
    <x v="11"/>
    <n v="73"/>
    <n v="36358"/>
    <n v="0"/>
  </r>
  <r>
    <d v="2019-01-05T00:00:00"/>
    <x v="2"/>
    <x v="0"/>
    <x v="14"/>
    <n v="176"/>
    <n v="87885"/>
    <n v="0"/>
  </r>
  <r>
    <d v="2019-01-10T00:00:00"/>
    <x v="2"/>
    <x v="0"/>
    <x v="14"/>
    <n v="365"/>
    <n v="182447"/>
    <n v="0"/>
  </r>
  <r>
    <d v="2019-01-04T00:00:00"/>
    <x v="2"/>
    <x v="0"/>
    <x v="1"/>
    <n v="405"/>
    <n v="202304"/>
    <n v="0"/>
  </r>
  <r>
    <d v="2019-01-10T00:00:00"/>
    <x v="2"/>
    <x v="0"/>
    <x v="1"/>
    <n v="538"/>
    <n v="269079"/>
    <n v="0"/>
  </r>
  <r>
    <d v="2019-01-30T00:00:00"/>
    <x v="2"/>
    <x v="0"/>
    <x v="1"/>
    <n v="63"/>
    <n v="31600"/>
    <n v="11600"/>
  </r>
  <r>
    <d v="2019-01-11T00:00:00"/>
    <x v="2"/>
    <x v="0"/>
    <x v="8"/>
    <n v="536"/>
    <n v="268141"/>
    <n v="0"/>
  </r>
  <r>
    <d v="2019-01-03T00:00:00"/>
    <x v="2"/>
    <x v="0"/>
    <x v="1"/>
    <n v="93"/>
    <n v="46350"/>
    <n v="0"/>
  </r>
  <r>
    <d v="2019-01-24T00:00:00"/>
    <x v="2"/>
    <x v="0"/>
    <x v="1"/>
    <n v="47"/>
    <n v="23320"/>
    <n v="10000"/>
  </r>
  <r>
    <d v="2019-01-03T00:00:00"/>
    <x v="2"/>
    <x v="0"/>
    <x v="2"/>
    <n v="3170"/>
    <n v="1585046"/>
    <n v="0"/>
  </r>
  <r>
    <d v="2019-01-06T00:00:00"/>
    <x v="2"/>
    <x v="0"/>
    <x v="2"/>
    <n v="2894"/>
    <n v="1446773"/>
    <n v="0"/>
  </r>
  <r>
    <d v="2019-01-07T00:00:00"/>
    <x v="2"/>
    <x v="0"/>
    <x v="2"/>
    <n v="767"/>
    <n v="383505"/>
    <n v="0"/>
  </r>
  <r>
    <d v="2019-01-09T00:00:00"/>
    <x v="2"/>
    <x v="0"/>
    <x v="2"/>
    <n v="452"/>
    <n v="226080"/>
    <n v="0"/>
  </r>
  <r>
    <d v="2019-01-12T00:00:00"/>
    <x v="2"/>
    <x v="0"/>
    <x v="2"/>
    <n v="765"/>
    <n v="382640"/>
    <n v="0"/>
  </r>
  <r>
    <d v="2019-01-17T00:00:00"/>
    <x v="2"/>
    <x v="0"/>
    <x v="2"/>
    <n v="877"/>
    <n v="438329"/>
    <n v="0"/>
  </r>
  <r>
    <d v="2019-01-18T00:00:00"/>
    <x v="2"/>
    <x v="0"/>
    <x v="2"/>
    <n v="25"/>
    <n v="12720"/>
    <n v="0"/>
  </r>
  <r>
    <d v="2019-01-17T00:00:00"/>
    <x v="2"/>
    <x v="0"/>
    <x v="10"/>
    <n v="172"/>
    <n v="85985"/>
    <n v="0"/>
  </r>
  <r>
    <d v="2019-01-26T00:00:00"/>
    <x v="2"/>
    <x v="0"/>
    <x v="1"/>
    <n v="494"/>
    <n v="247072"/>
    <n v="0"/>
  </r>
  <r>
    <d v="2019-01-27T00:00:00"/>
    <x v="2"/>
    <x v="0"/>
    <x v="1"/>
    <n v="707"/>
    <n v="353492"/>
    <n v="0"/>
  </r>
  <r>
    <d v="2019-01-06T00:00:00"/>
    <x v="2"/>
    <x v="0"/>
    <x v="1"/>
    <n v="162"/>
    <n v="81029"/>
    <n v="0"/>
  </r>
  <r>
    <d v="2019-01-14T00:00:00"/>
    <x v="2"/>
    <x v="0"/>
    <x v="6"/>
    <n v="194"/>
    <n v="96780"/>
    <n v="780"/>
  </r>
  <r>
    <d v="2019-01-24T00:00:00"/>
    <x v="2"/>
    <x v="0"/>
    <x v="6"/>
    <n v="476"/>
    <n v="238230"/>
    <n v="0"/>
  </r>
  <r>
    <d v="2019-01-13T00:00:00"/>
    <x v="2"/>
    <x v="0"/>
    <x v="5"/>
    <n v="159"/>
    <n v="79294"/>
    <n v="10000"/>
  </r>
  <r>
    <d v="2019-01-28T00:00:00"/>
    <x v="2"/>
    <x v="0"/>
    <x v="5"/>
    <n v="80"/>
    <n v="40000"/>
    <n v="20000"/>
  </r>
  <r>
    <d v="2019-01-06T00:00:00"/>
    <x v="2"/>
    <x v="0"/>
    <x v="5"/>
    <n v="847"/>
    <n v="423494"/>
    <n v="0"/>
  </r>
  <r>
    <d v="2019-01-03T00:00:00"/>
    <x v="2"/>
    <x v="0"/>
    <x v="8"/>
    <n v="310"/>
    <n v="155200"/>
    <n v="0"/>
  </r>
  <r>
    <d v="2019-01-04T00:00:00"/>
    <x v="2"/>
    <x v="0"/>
    <x v="8"/>
    <n v="458"/>
    <n v="229167"/>
    <n v="0"/>
  </r>
  <r>
    <d v="2019-01-06T00:00:00"/>
    <x v="2"/>
    <x v="0"/>
    <x v="8"/>
    <n v="34"/>
    <n v="17200"/>
    <n v="0"/>
  </r>
  <r>
    <d v="2019-01-10T00:00:00"/>
    <x v="2"/>
    <x v="0"/>
    <x v="8"/>
    <n v="125"/>
    <n v="62640"/>
    <n v="0"/>
  </r>
  <r>
    <d v="2019-01-16T00:00:00"/>
    <x v="2"/>
    <x v="0"/>
    <x v="8"/>
    <n v="141"/>
    <n v="70600"/>
    <n v="0"/>
  </r>
  <r>
    <d v="2019-01-04T00:00:00"/>
    <x v="2"/>
    <x v="0"/>
    <x v="4"/>
    <n v="112"/>
    <n v="55896"/>
    <n v="0"/>
  </r>
  <r>
    <d v="2019-01-12T00:00:00"/>
    <x v="2"/>
    <x v="0"/>
    <x v="3"/>
    <n v="78"/>
    <n v="39000"/>
    <n v="8000"/>
  </r>
  <r>
    <d v="2019-01-10T00:00:00"/>
    <x v="2"/>
    <x v="0"/>
    <x v="0"/>
    <n v="35"/>
    <n v="17630"/>
    <n v="630"/>
  </r>
  <r>
    <d v="2019-01-02T00:00:00"/>
    <x v="2"/>
    <x v="0"/>
    <x v="0"/>
    <n v="570"/>
    <n v="284909"/>
    <n v="0"/>
  </r>
  <r>
    <d v="2019-01-03T00:00:00"/>
    <x v="2"/>
    <x v="0"/>
    <x v="0"/>
    <n v="1206"/>
    <n v="602878"/>
    <n v="0"/>
  </r>
  <r>
    <d v="2019-01-04T00:00:00"/>
    <x v="2"/>
    <x v="0"/>
    <x v="0"/>
    <n v="628"/>
    <n v="313885"/>
    <n v="0"/>
  </r>
  <r>
    <d v="2019-01-09T00:00:00"/>
    <x v="2"/>
    <x v="0"/>
    <x v="0"/>
    <n v="14"/>
    <n v="6975"/>
    <n v="0"/>
  </r>
  <r>
    <d v="2019-01-10T00:00:00"/>
    <x v="2"/>
    <x v="0"/>
    <x v="0"/>
    <n v="584"/>
    <n v="292215"/>
    <n v="0"/>
  </r>
  <r>
    <d v="2019-01-25T00:00:00"/>
    <x v="2"/>
    <x v="0"/>
    <x v="0"/>
    <n v="343"/>
    <n v="171391"/>
    <n v="80000"/>
  </r>
  <r>
    <d v="2019-01-26T00:00:00"/>
    <x v="2"/>
    <x v="0"/>
    <x v="0"/>
    <n v="631"/>
    <n v="315426"/>
    <n v="0"/>
  </r>
  <r>
    <d v="2019-01-04T00:00:00"/>
    <x v="2"/>
    <x v="0"/>
    <x v="7"/>
    <n v="1126"/>
    <n v="562786"/>
    <n v="0"/>
  </r>
  <r>
    <d v="2019-01-11T00:00:00"/>
    <x v="2"/>
    <x v="0"/>
    <x v="7"/>
    <n v="1250"/>
    <n v="625092"/>
    <n v="0"/>
  </r>
  <r>
    <d v="2019-01-16T00:00:00"/>
    <x v="2"/>
    <x v="0"/>
    <x v="7"/>
    <n v="267"/>
    <n v="133302"/>
    <n v="0"/>
  </r>
  <r>
    <d v="2019-01-17T00:00:00"/>
    <x v="2"/>
    <x v="0"/>
    <x v="7"/>
    <n v="748"/>
    <n v="373950"/>
    <n v="0"/>
  </r>
  <r>
    <d v="2019-01-19T00:00:00"/>
    <x v="2"/>
    <x v="0"/>
    <x v="7"/>
    <n v="248"/>
    <n v="123883"/>
    <n v="0"/>
  </r>
  <r>
    <d v="2019-01-24T00:00:00"/>
    <x v="2"/>
    <x v="0"/>
    <x v="7"/>
    <n v="238"/>
    <n v="119056"/>
    <n v="0"/>
  </r>
  <r>
    <d v="2019-01-28T00:00:00"/>
    <x v="2"/>
    <x v="0"/>
    <x v="7"/>
    <n v="125"/>
    <n v="62336"/>
    <n v="20000"/>
  </r>
  <r>
    <d v="2019-01-05T00:00:00"/>
    <x v="2"/>
    <x v="0"/>
    <x v="4"/>
    <n v="535"/>
    <n v="267620"/>
    <n v="0"/>
  </r>
  <r>
    <d v="2019-01-11T00:00:00"/>
    <x v="2"/>
    <x v="0"/>
    <x v="1"/>
    <n v="826"/>
    <n v="413196"/>
    <n v="0"/>
  </r>
  <r>
    <d v="2019-01-18T00:00:00"/>
    <x v="2"/>
    <x v="0"/>
    <x v="1"/>
    <n v="461"/>
    <n v="230525"/>
    <n v="0"/>
  </r>
  <r>
    <d v="2019-01-02T00:00:00"/>
    <x v="2"/>
    <x v="0"/>
    <x v="4"/>
    <n v="410"/>
    <n v="204950"/>
    <n v="0"/>
  </r>
  <r>
    <d v="2019-01-03T00:00:00"/>
    <x v="2"/>
    <x v="0"/>
    <x v="4"/>
    <n v="608"/>
    <n v="304238"/>
    <n v="0"/>
  </r>
  <r>
    <d v="2019-01-04T00:00:00"/>
    <x v="2"/>
    <x v="0"/>
    <x v="4"/>
    <n v="302"/>
    <n v="150870"/>
    <n v="0"/>
  </r>
  <r>
    <d v="2019-01-05T00:00:00"/>
    <x v="2"/>
    <x v="0"/>
    <x v="4"/>
    <n v="2507"/>
    <n v="1253273"/>
    <n v="0"/>
  </r>
  <r>
    <d v="2019-01-06T00:00:00"/>
    <x v="2"/>
    <x v="0"/>
    <x v="4"/>
    <n v="113"/>
    <n v="56280"/>
    <n v="0"/>
  </r>
  <r>
    <d v="2019-01-09T00:00:00"/>
    <x v="2"/>
    <x v="0"/>
    <x v="4"/>
    <n v="1150"/>
    <n v="575179"/>
    <n v="0"/>
  </r>
  <r>
    <d v="2019-01-16T00:00:00"/>
    <x v="2"/>
    <x v="0"/>
    <x v="4"/>
    <n v="754"/>
    <n v="376840"/>
    <n v="0"/>
  </r>
  <r>
    <d v="2019-01-23T00:00:00"/>
    <x v="2"/>
    <x v="0"/>
    <x v="4"/>
    <n v="1548"/>
    <n v="773925"/>
    <n v="0"/>
  </r>
  <r>
    <d v="2019-01-31T00:00:00"/>
    <x v="2"/>
    <x v="0"/>
    <x v="4"/>
    <n v="122"/>
    <n v="61095"/>
    <n v="0"/>
  </r>
  <r>
    <d v="2019-01-05T00:00:00"/>
    <x v="2"/>
    <x v="0"/>
    <x v="6"/>
    <n v="280"/>
    <n v="139860"/>
    <n v="0"/>
  </r>
  <r>
    <d v="2019-01-06T00:00:00"/>
    <x v="2"/>
    <x v="0"/>
    <x v="9"/>
    <n v="69"/>
    <n v="34686"/>
    <n v="100000"/>
  </r>
  <r>
    <d v="2019-01-04T00:00:00"/>
    <x v="2"/>
    <x v="1"/>
    <x v="8"/>
    <n v="7"/>
    <n v="3700"/>
    <n v="0"/>
  </r>
  <r>
    <d v="2019-01-18T00:00:00"/>
    <x v="2"/>
    <x v="1"/>
    <x v="2"/>
    <n v="18"/>
    <n v="9180"/>
    <n v="0"/>
  </r>
  <r>
    <d v="2019-01-25T00:00:00"/>
    <x v="2"/>
    <x v="1"/>
    <x v="2"/>
    <n v="42"/>
    <n v="21040"/>
    <n v="113680"/>
  </r>
  <r>
    <d v="2019-01-25T00:00:00"/>
    <x v="2"/>
    <x v="1"/>
    <x v="16"/>
    <n v="51"/>
    <n v="25588"/>
    <n v="100000"/>
  </r>
  <r>
    <d v="2019-01-18T00:00:00"/>
    <x v="2"/>
    <x v="1"/>
    <x v="3"/>
    <n v="63"/>
    <n v="31360"/>
    <n v="146800"/>
  </r>
  <r>
    <d v="2019-01-18T00:00:00"/>
    <x v="2"/>
    <x v="1"/>
    <x v="6"/>
    <n v="64"/>
    <n v="31800"/>
    <n v="10000"/>
  </r>
  <r>
    <d v="2019-01-04T00:00:00"/>
    <x v="2"/>
    <x v="1"/>
    <x v="6"/>
    <n v="67"/>
    <n v="33380"/>
    <n v="0"/>
  </r>
  <r>
    <d v="2019-01-18T00:00:00"/>
    <x v="2"/>
    <x v="1"/>
    <x v="5"/>
    <n v="69"/>
    <n v="34400"/>
    <n v="50700"/>
  </r>
  <r>
    <d v="2019-01-11T00:00:00"/>
    <x v="2"/>
    <x v="1"/>
    <x v="3"/>
    <n v="75"/>
    <n v="37600"/>
    <n v="30000"/>
  </r>
  <r>
    <d v="2019-01-25T00:00:00"/>
    <x v="2"/>
    <x v="1"/>
    <x v="4"/>
    <n v="78"/>
    <n v="38850"/>
    <n v="685000"/>
  </r>
  <r>
    <d v="2019-01-11T00:00:00"/>
    <x v="2"/>
    <x v="1"/>
    <x v="6"/>
    <n v="92"/>
    <n v="46160"/>
    <n v="20000"/>
  </r>
  <r>
    <d v="2019-01-11T00:00:00"/>
    <x v="2"/>
    <x v="1"/>
    <x v="15"/>
    <n v="99"/>
    <n v="49370"/>
    <n v="68000"/>
  </r>
  <r>
    <d v="2019-01-18T00:00:00"/>
    <x v="2"/>
    <x v="1"/>
    <x v="14"/>
    <n v="103"/>
    <n v="51500"/>
    <n v="0"/>
  </r>
  <r>
    <d v="2019-01-11T00:00:00"/>
    <x v="2"/>
    <x v="1"/>
    <x v="16"/>
    <n v="111"/>
    <n v="55330"/>
    <n v="20000"/>
  </r>
  <r>
    <d v="2019-01-11T00:00:00"/>
    <x v="2"/>
    <x v="1"/>
    <x v="14"/>
    <n v="120"/>
    <n v="60000"/>
    <n v="46500"/>
  </r>
  <r>
    <d v="2019-01-18T00:00:00"/>
    <x v="2"/>
    <x v="1"/>
    <x v="1"/>
    <n v="123"/>
    <n v="61480"/>
    <n v="82920"/>
  </r>
  <r>
    <d v="2019-01-25T00:00:00"/>
    <x v="2"/>
    <x v="1"/>
    <x v="8"/>
    <n v="130"/>
    <n v="65030"/>
    <n v="95780"/>
  </r>
  <r>
    <d v="2019-01-25T00:00:00"/>
    <x v="2"/>
    <x v="1"/>
    <x v="1"/>
    <n v="143"/>
    <n v="71350"/>
    <n v="50000"/>
  </r>
  <r>
    <d v="2019-01-25T00:00:00"/>
    <x v="2"/>
    <x v="1"/>
    <x v="11"/>
    <n v="149"/>
    <n v="74310"/>
    <n v="1838700"/>
  </r>
  <r>
    <d v="2019-01-04T00:00:00"/>
    <x v="2"/>
    <x v="1"/>
    <x v="4"/>
    <n v="153"/>
    <n v="76380"/>
    <n v="0"/>
  </r>
  <r>
    <d v="2019-01-18T00:00:00"/>
    <x v="2"/>
    <x v="1"/>
    <x v="8"/>
    <n v="158"/>
    <n v="78840"/>
    <n v="300000"/>
  </r>
  <r>
    <d v="2019-01-18T00:00:00"/>
    <x v="2"/>
    <x v="1"/>
    <x v="9"/>
    <n v="158"/>
    <n v="79110"/>
    <n v="10000"/>
  </r>
  <r>
    <d v="2019-01-18T00:00:00"/>
    <x v="2"/>
    <x v="1"/>
    <x v="3"/>
    <n v="163"/>
    <n v="81740"/>
    <n v="40000"/>
  </r>
  <r>
    <d v="2019-01-11T00:00:00"/>
    <x v="2"/>
    <x v="1"/>
    <x v="3"/>
    <n v="172"/>
    <n v="86020"/>
    <n v="30400"/>
  </r>
  <r>
    <d v="2019-01-04T00:00:00"/>
    <x v="2"/>
    <x v="1"/>
    <x v="4"/>
    <n v="181"/>
    <n v="90400"/>
    <n v="0"/>
  </r>
  <r>
    <d v="2019-01-25T00:00:00"/>
    <x v="2"/>
    <x v="1"/>
    <x v="17"/>
    <n v="183"/>
    <n v="91510"/>
    <n v="9250"/>
  </r>
  <r>
    <d v="2019-01-11T00:00:00"/>
    <x v="2"/>
    <x v="1"/>
    <x v="3"/>
    <n v="206"/>
    <n v="102840"/>
    <n v="20000"/>
  </r>
  <r>
    <d v="2019-01-11T00:00:00"/>
    <x v="2"/>
    <x v="1"/>
    <x v="12"/>
    <n v="208"/>
    <n v="103910"/>
    <n v="25000"/>
  </r>
  <r>
    <d v="2019-01-04T00:00:00"/>
    <x v="2"/>
    <x v="1"/>
    <x v="10"/>
    <n v="217"/>
    <n v="108400"/>
    <n v="0"/>
  </r>
  <r>
    <d v="2019-01-25T00:00:00"/>
    <x v="2"/>
    <x v="1"/>
    <x v="7"/>
    <n v="246"/>
    <n v="122880"/>
    <n v="0"/>
  </r>
  <r>
    <d v="2019-01-11T00:00:00"/>
    <x v="2"/>
    <x v="1"/>
    <x v="8"/>
    <n v="261"/>
    <n v="130480"/>
    <n v="15000"/>
  </r>
  <r>
    <d v="2019-01-18T00:00:00"/>
    <x v="2"/>
    <x v="1"/>
    <x v="16"/>
    <n v="262"/>
    <n v="130780"/>
    <n v="116000"/>
  </r>
  <r>
    <d v="2019-01-04T00:00:00"/>
    <x v="2"/>
    <x v="1"/>
    <x v="3"/>
    <n v="267"/>
    <n v="133440"/>
    <n v="0"/>
  </r>
  <r>
    <d v="2019-01-11T00:00:00"/>
    <x v="2"/>
    <x v="1"/>
    <x v="16"/>
    <n v="275"/>
    <n v="137430"/>
    <n v="180000"/>
  </r>
  <r>
    <d v="2019-01-25T00:00:00"/>
    <x v="2"/>
    <x v="1"/>
    <x v="6"/>
    <n v="279"/>
    <n v="139465"/>
    <n v="27035"/>
  </r>
  <r>
    <d v="2019-01-11T00:00:00"/>
    <x v="2"/>
    <x v="1"/>
    <x v="11"/>
    <n v="334"/>
    <n v="167210"/>
    <n v="50000"/>
  </r>
  <r>
    <d v="2019-01-18T00:00:00"/>
    <x v="2"/>
    <x v="1"/>
    <x v="6"/>
    <n v="337"/>
    <n v="168650"/>
    <n v="100000"/>
  </r>
  <r>
    <d v="2019-01-11T00:00:00"/>
    <x v="2"/>
    <x v="1"/>
    <x v="6"/>
    <n v="344"/>
    <n v="171890"/>
    <n v="0"/>
  </r>
  <r>
    <d v="2019-01-04T00:00:00"/>
    <x v="2"/>
    <x v="1"/>
    <x v="14"/>
    <n v="365"/>
    <n v="182500"/>
    <n v="0"/>
  </r>
  <r>
    <d v="2019-01-25T00:00:00"/>
    <x v="2"/>
    <x v="1"/>
    <x v="3"/>
    <n v="371"/>
    <n v="185470"/>
    <n v="61000"/>
  </r>
  <r>
    <d v="2019-01-04T00:00:00"/>
    <x v="2"/>
    <x v="1"/>
    <x v="16"/>
    <n v="375"/>
    <n v="187370"/>
    <n v="0"/>
  </r>
  <r>
    <d v="2019-01-25T00:00:00"/>
    <x v="2"/>
    <x v="1"/>
    <x v="8"/>
    <n v="397"/>
    <n v="198700"/>
    <n v="240000"/>
  </r>
  <r>
    <d v="2019-01-04T00:00:00"/>
    <x v="2"/>
    <x v="1"/>
    <x v="8"/>
    <n v="410"/>
    <n v="204770"/>
    <n v="0"/>
  </r>
  <r>
    <d v="2019-01-11T00:00:00"/>
    <x v="2"/>
    <x v="1"/>
    <x v="5"/>
    <n v="419"/>
    <n v="209720"/>
    <n v="0"/>
  </r>
  <r>
    <d v="2019-01-11T00:00:00"/>
    <x v="2"/>
    <x v="1"/>
    <x v="1"/>
    <n v="423"/>
    <n v="211300"/>
    <n v="108700"/>
  </r>
  <r>
    <d v="2019-01-11T00:00:00"/>
    <x v="2"/>
    <x v="1"/>
    <x v="5"/>
    <n v="459"/>
    <n v="229520"/>
    <n v="200000"/>
  </r>
  <r>
    <d v="2019-01-11T00:00:00"/>
    <x v="2"/>
    <x v="1"/>
    <x v="2"/>
    <n v="467"/>
    <n v="233630"/>
    <n v="0"/>
  </r>
  <r>
    <d v="2019-01-04T00:00:00"/>
    <x v="2"/>
    <x v="1"/>
    <x v="8"/>
    <n v="467"/>
    <n v="233350"/>
    <n v="0"/>
  </r>
  <r>
    <d v="2019-01-18T00:00:00"/>
    <x v="2"/>
    <x v="1"/>
    <x v="14"/>
    <n v="468"/>
    <n v="234250"/>
    <n v="100000"/>
  </r>
  <r>
    <d v="2019-01-25T00:00:00"/>
    <x v="2"/>
    <x v="1"/>
    <x v="4"/>
    <n v="502"/>
    <n v="250920"/>
    <n v="726190"/>
  </r>
  <r>
    <d v="2019-01-11T00:00:00"/>
    <x v="2"/>
    <x v="1"/>
    <x v="8"/>
    <n v="523"/>
    <n v="261380"/>
    <n v="0"/>
  </r>
  <r>
    <d v="2019-01-04T00:00:00"/>
    <x v="2"/>
    <x v="1"/>
    <x v="5"/>
    <n v="564"/>
    <n v="281910"/>
    <n v="10000"/>
  </r>
  <r>
    <d v="2019-01-18T00:00:00"/>
    <x v="2"/>
    <x v="1"/>
    <x v="17"/>
    <n v="572"/>
    <n v="286080"/>
    <n v="8600"/>
  </r>
  <r>
    <d v="2019-01-18T00:00:00"/>
    <x v="2"/>
    <x v="1"/>
    <x v="8"/>
    <n v="578"/>
    <n v="289070"/>
    <n v="292000"/>
  </r>
  <r>
    <d v="2019-01-18T00:00:00"/>
    <x v="2"/>
    <x v="1"/>
    <x v="1"/>
    <n v="611"/>
    <n v="305380"/>
    <n v="150000"/>
  </r>
  <r>
    <d v="2019-01-11T00:00:00"/>
    <x v="2"/>
    <x v="1"/>
    <x v="1"/>
    <n v="627"/>
    <n v="313300"/>
    <n v="0"/>
  </r>
  <r>
    <d v="2019-01-04T00:00:00"/>
    <x v="2"/>
    <x v="1"/>
    <x v="10"/>
    <n v="659"/>
    <n v="329620"/>
    <n v="0"/>
  </r>
  <r>
    <d v="2019-01-25T00:00:00"/>
    <x v="2"/>
    <x v="1"/>
    <x v="8"/>
    <n v="661"/>
    <n v="330400"/>
    <n v="50000"/>
  </r>
  <r>
    <d v="2019-01-11T00:00:00"/>
    <x v="2"/>
    <x v="1"/>
    <x v="1"/>
    <n v="668"/>
    <n v="333800"/>
    <n v="6000"/>
  </r>
  <r>
    <d v="2019-01-25T00:00:00"/>
    <x v="2"/>
    <x v="1"/>
    <x v="4"/>
    <n v="729"/>
    <n v="364400"/>
    <n v="428310"/>
  </r>
  <r>
    <d v="2019-01-11T00:00:00"/>
    <x v="2"/>
    <x v="1"/>
    <x v="1"/>
    <n v="733"/>
    <n v="366560"/>
    <n v="100000"/>
  </r>
  <r>
    <d v="2019-01-11T00:00:00"/>
    <x v="2"/>
    <x v="1"/>
    <x v="2"/>
    <n v="753"/>
    <n v="376690"/>
    <n v="0"/>
  </r>
  <r>
    <d v="2019-01-04T00:00:00"/>
    <x v="2"/>
    <x v="1"/>
    <x v="17"/>
    <n v="755"/>
    <n v="377720"/>
    <n v="17000"/>
  </r>
  <r>
    <d v="2019-01-18T00:00:00"/>
    <x v="2"/>
    <x v="1"/>
    <x v="8"/>
    <n v="790"/>
    <n v="395010"/>
    <n v="20000"/>
  </r>
  <r>
    <d v="2019-01-04T00:00:00"/>
    <x v="2"/>
    <x v="1"/>
    <x v="2"/>
    <n v="818"/>
    <n v="408800"/>
    <n v="0"/>
  </r>
  <r>
    <d v="2019-01-04T00:00:00"/>
    <x v="2"/>
    <x v="1"/>
    <x v="1"/>
    <n v="832"/>
    <n v="415800"/>
    <n v="0"/>
  </r>
  <r>
    <d v="2019-01-11T00:00:00"/>
    <x v="2"/>
    <x v="1"/>
    <x v="0"/>
    <n v="857"/>
    <n v="428440"/>
    <n v="60000"/>
  </r>
  <r>
    <d v="2019-01-11T00:00:00"/>
    <x v="2"/>
    <x v="1"/>
    <x v="3"/>
    <n v="876"/>
    <n v="437940"/>
    <n v="151980"/>
  </r>
  <r>
    <d v="2019-01-11T00:00:00"/>
    <x v="2"/>
    <x v="1"/>
    <x v="1"/>
    <n v="880"/>
    <n v="440050"/>
    <n v="480000"/>
  </r>
  <r>
    <d v="2019-01-18T00:00:00"/>
    <x v="2"/>
    <x v="1"/>
    <x v="1"/>
    <n v="930"/>
    <n v="465080"/>
    <n v="100000"/>
  </r>
  <r>
    <d v="2019-01-11T00:00:00"/>
    <x v="2"/>
    <x v="1"/>
    <x v="8"/>
    <n v="945"/>
    <n v="472350"/>
    <n v="0"/>
  </r>
  <r>
    <d v="2019-01-18T00:00:00"/>
    <x v="2"/>
    <x v="1"/>
    <x v="2"/>
    <n v="974"/>
    <n v="486860"/>
    <n v="36000"/>
  </r>
  <r>
    <d v="2019-01-04T00:00:00"/>
    <x v="2"/>
    <x v="1"/>
    <x v="15"/>
    <n v="994"/>
    <n v="497113"/>
    <n v="0"/>
  </r>
  <r>
    <d v="2019-01-18T00:00:00"/>
    <x v="2"/>
    <x v="1"/>
    <x v="4"/>
    <n v="1498"/>
    <n v="748980"/>
    <n v="0"/>
  </r>
  <r>
    <d v="2019-01-18T00:00:00"/>
    <x v="2"/>
    <x v="1"/>
    <x v="1"/>
    <n v="1524"/>
    <n v="761900"/>
    <n v="130690"/>
  </r>
  <r>
    <d v="2019-01-25T00:00:00"/>
    <x v="2"/>
    <x v="1"/>
    <x v="4"/>
    <n v="1595"/>
    <n v="797470"/>
    <n v="110000"/>
  </r>
  <r>
    <d v="2019-01-02T00:00:00"/>
    <x v="2"/>
    <x v="2"/>
    <x v="4"/>
    <n v="44"/>
    <n v="21800"/>
    <n v="0"/>
  </r>
  <r>
    <d v="2019-01-31T00:00:00"/>
    <x v="2"/>
    <x v="2"/>
    <x v="11"/>
    <n v="35"/>
    <n v="17500"/>
    <n v="500"/>
  </r>
  <r>
    <d v="2019-01-07T00:00:00"/>
    <x v="2"/>
    <x v="2"/>
    <x v="13"/>
    <n v="495"/>
    <n v="247460"/>
    <n v="0"/>
  </r>
  <r>
    <d v="2019-01-24T00:00:00"/>
    <x v="2"/>
    <x v="2"/>
    <x v="13"/>
    <n v="19"/>
    <n v="9280"/>
    <n v="5021"/>
  </r>
  <r>
    <d v="2019-01-07T00:00:00"/>
    <x v="2"/>
    <x v="2"/>
    <x v="8"/>
    <n v="155"/>
    <n v="77660"/>
    <n v="27660"/>
  </r>
  <r>
    <d v="2019-01-31T00:00:00"/>
    <x v="2"/>
    <x v="2"/>
    <x v="8"/>
    <n v="18"/>
    <n v="9250"/>
    <n v="0"/>
  </r>
  <r>
    <d v="2019-01-06T00:00:00"/>
    <x v="2"/>
    <x v="2"/>
    <x v="0"/>
    <n v="28"/>
    <n v="13950"/>
    <n v="13950"/>
  </r>
  <r>
    <d v="2019-01-11T00:00:00"/>
    <x v="2"/>
    <x v="2"/>
    <x v="0"/>
    <n v="168"/>
    <n v="83900"/>
    <n v="0"/>
  </r>
  <r>
    <d v="2019-01-21T00:00:00"/>
    <x v="2"/>
    <x v="2"/>
    <x v="0"/>
    <n v="281"/>
    <n v="140320"/>
    <n v="47000"/>
  </r>
  <r>
    <d v="2019-01-10T00:00:00"/>
    <x v="2"/>
    <x v="2"/>
    <x v="14"/>
    <n v="53"/>
    <n v="26530"/>
    <n v="0"/>
  </r>
  <r>
    <d v="2019-01-19T00:00:00"/>
    <x v="2"/>
    <x v="2"/>
    <x v="3"/>
    <n v="160"/>
    <n v="79980"/>
    <n v="15000"/>
  </r>
  <r>
    <d v="2019-01-25T00:00:00"/>
    <x v="2"/>
    <x v="2"/>
    <x v="3"/>
    <n v="18"/>
    <n v="9200"/>
    <n v="0"/>
  </r>
  <r>
    <d v="2019-01-03T00:00:00"/>
    <x v="2"/>
    <x v="2"/>
    <x v="2"/>
    <n v="333"/>
    <n v="166710"/>
    <n v="152700"/>
  </r>
  <r>
    <d v="2019-01-05T00:00:00"/>
    <x v="2"/>
    <x v="2"/>
    <x v="2"/>
    <n v="64"/>
    <n v="32050"/>
    <n v="0"/>
  </r>
  <r>
    <d v="2019-01-06T00:00:00"/>
    <x v="2"/>
    <x v="2"/>
    <x v="2"/>
    <n v="121"/>
    <n v="60695"/>
    <n v="0"/>
  </r>
  <r>
    <d v="2019-01-09T00:00:00"/>
    <x v="2"/>
    <x v="2"/>
    <x v="2"/>
    <n v="495"/>
    <n v="247630"/>
    <n v="5000"/>
  </r>
  <r>
    <d v="2019-01-10T00:00:00"/>
    <x v="2"/>
    <x v="2"/>
    <x v="2"/>
    <n v="88"/>
    <n v="44235"/>
    <n v="51000"/>
  </r>
  <r>
    <d v="2019-01-11T00:00:00"/>
    <x v="2"/>
    <x v="2"/>
    <x v="2"/>
    <n v="143"/>
    <n v="71315"/>
    <n v="0"/>
  </r>
  <r>
    <d v="2019-01-13T00:00:00"/>
    <x v="2"/>
    <x v="2"/>
    <x v="2"/>
    <n v="350"/>
    <n v="174780"/>
    <n v="0"/>
  </r>
  <r>
    <d v="2019-01-14T00:00:00"/>
    <x v="2"/>
    <x v="2"/>
    <x v="2"/>
    <n v="90"/>
    <n v="44800"/>
    <n v="10000"/>
  </r>
  <r>
    <d v="2019-01-16T00:00:00"/>
    <x v="2"/>
    <x v="2"/>
    <x v="2"/>
    <n v="36"/>
    <n v="18250"/>
    <n v="18250"/>
  </r>
  <r>
    <d v="2019-01-17T00:00:00"/>
    <x v="2"/>
    <x v="2"/>
    <x v="2"/>
    <n v="108"/>
    <n v="54100"/>
    <n v="10000"/>
  </r>
  <r>
    <d v="2019-01-19T00:00:00"/>
    <x v="2"/>
    <x v="2"/>
    <x v="2"/>
    <n v="29"/>
    <n v="14340"/>
    <n v="10000"/>
  </r>
  <r>
    <d v="2019-01-20T00:00:00"/>
    <x v="2"/>
    <x v="2"/>
    <x v="2"/>
    <n v="48"/>
    <n v="24070"/>
    <n v="15000"/>
  </r>
  <r>
    <d v="2019-01-21T00:00:00"/>
    <x v="2"/>
    <x v="2"/>
    <x v="2"/>
    <n v="43"/>
    <n v="21520"/>
    <n v="0"/>
  </r>
  <r>
    <d v="2019-01-24T00:00:00"/>
    <x v="2"/>
    <x v="2"/>
    <x v="2"/>
    <n v="209"/>
    <n v="104315"/>
    <n v="12000"/>
  </r>
  <r>
    <d v="2019-01-25T00:00:00"/>
    <x v="2"/>
    <x v="2"/>
    <x v="2"/>
    <n v="151"/>
    <n v="75630"/>
    <n v="30000"/>
  </r>
  <r>
    <d v="2019-01-26T00:00:00"/>
    <x v="2"/>
    <x v="2"/>
    <x v="2"/>
    <n v="158"/>
    <n v="79090"/>
    <n v="25000"/>
  </r>
  <r>
    <d v="2019-01-27T00:00:00"/>
    <x v="2"/>
    <x v="2"/>
    <x v="2"/>
    <n v="140"/>
    <n v="70145"/>
    <n v="28260"/>
  </r>
  <r>
    <d v="2019-01-28T00:00:00"/>
    <x v="2"/>
    <x v="2"/>
    <x v="2"/>
    <n v="16"/>
    <n v="7990"/>
    <n v="10000"/>
  </r>
  <r>
    <d v="2019-01-30T00:00:00"/>
    <x v="2"/>
    <x v="2"/>
    <x v="2"/>
    <n v="5"/>
    <n v="2545"/>
    <n v="15315"/>
  </r>
  <r>
    <d v="2019-01-31T00:00:00"/>
    <x v="2"/>
    <x v="2"/>
    <x v="2"/>
    <n v="53"/>
    <n v="26675"/>
    <n v="15000"/>
  </r>
  <r>
    <d v="2019-01-30T00:00:00"/>
    <x v="2"/>
    <x v="2"/>
    <x v="4"/>
    <n v="142"/>
    <n v="71250"/>
    <n v="0"/>
  </r>
  <r>
    <d v="2019-01-02T00:00:00"/>
    <x v="2"/>
    <x v="2"/>
    <x v="1"/>
    <n v="109"/>
    <n v="54550"/>
    <n v="0"/>
  </r>
  <r>
    <d v="2019-01-04T00:00:00"/>
    <x v="2"/>
    <x v="2"/>
    <x v="1"/>
    <n v="152"/>
    <n v="76240"/>
    <n v="0"/>
  </r>
  <r>
    <d v="2019-01-07T00:00:00"/>
    <x v="2"/>
    <x v="2"/>
    <x v="1"/>
    <n v="294"/>
    <n v="147080"/>
    <n v="0"/>
  </r>
  <r>
    <d v="2019-01-17T00:00:00"/>
    <x v="2"/>
    <x v="2"/>
    <x v="1"/>
    <n v="120"/>
    <n v="59885"/>
    <n v="0"/>
  </r>
  <r>
    <d v="2019-01-24T00:00:00"/>
    <x v="2"/>
    <x v="2"/>
    <x v="1"/>
    <n v="9"/>
    <n v="4680"/>
    <n v="10000"/>
  </r>
  <r>
    <d v="2019-01-27T00:00:00"/>
    <x v="2"/>
    <x v="2"/>
    <x v="1"/>
    <n v="359"/>
    <n v="179280"/>
    <n v="5000"/>
  </r>
  <r>
    <d v="2019-01-31T00:00:00"/>
    <x v="2"/>
    <x v="2"/>
    <x v="1"/>
    <n v="15"/>
    <n v="7684"/>
    <n v="10000"/>
  </r>
  <r>
    <d v="2019-01-26T00:00:00"/>
    <x v="2"/>
    <x v="2"/>
    <x v="12"/>
    <n v="79"/>
    <n v="39270"/>
    <n v="9000"/>
  </r>
  <r>
    <d v="2019-01-31T00:00:00"/>
    <x v="2"/>
    <x v="2"/>
    <x v="12"/>
    <n v="82"/>
    <n v="41210"/>
    <n v="0"/>
  </r>
  <r>
    <d v="2019-01-13T00:00:00"/>
    <x v="2"/>
    <x v="2"/>
    <x v="10"/>
    <n v="53"/>
    <n v="26640"/>
    <n v="0"/>
  </r>
  <r>
    <d v="2019-01-13T00:00:00"/>
    <x v="2"/>
    <x v="2"/>
    <x v="1"/>
    <n v="402"/>
    <n v="201245"/>
    <n v="0"/>
  </r>
  <r>
    <d v="2019-01-05T00:00:00"/>
    <x v="2"/>
    <x v="2"/>
    <x v="4"/>
    <n v="3558"/>
    <n v="1779090"/>
    <n v="0"/>
  </r>
  <r>
    <d v="2019-01-11T00:00:00"/>
    <x v="2"/>
    <x v="2"/>
    <x v="4"/>
    <n v="766"/>
    <n v="382860"/>
    <n v="0"/>
  </r>
  <r>
    <d v="2019-01-12T00:00:00"/>
    <x v="2"/>
    <x v="2"/>
    <x v="5"/>
    <n v="52"/>
    <n v="26200"/>
    <n v="0"/>
  </r>
  <r>
    <d v="2019-01-24T00:00:00"/>
    <x v="2"/>
    <x v="2"/>
    <x v="3"/>
    <n v="91"/>
    <n v="45495"/>
    <n v="0"/>
  </r>
  <r>
    <d v="2019-01-10T00:00:00"/>
    <x v="2"/>
    <x v="2"/>
    <x v="12"/>
    <n v="128"/>
    <n v="64225"/>
    <n v="10000"/>
  </r>
  <r>
    <d v="2019-01-19T00:00:00"/>
    <x v="2"/>
    <x v="2"/>
    <x v="12"/>
    <n v="60"/>
    <n v="29960"/>
    <n v="10000"/>
  </r>
  <r>
    <d v="2019-01-10T00:00:00"/>
    <x v="2"/>
    <x v="2"/>
    <x v="4"/>
    <n v="422"/>
    <n v="210750"/>
    <n v="0"/>
  </r>
  <r>
    <d v="2019-01-12T00:00:00"/>
    <x v="2"/>
    <x v="2"/>
    <x v="4"/>
    <n v="500"/>
    <n v="250120"/>
    <n v="26000"/>
  </r>
  <r>
    <d v="2019-01-19T00:00:00"/>
    <x v="2"/>
    <x v="2"/>
    <x v="4"/>
    <n v="471"/>
    <n v="235280"/>
    <n v="0"/>
  </r>
  <r>
    <d v="2019-01-28T00:00:00"/>
    <x v="2"/>
    <x v="2"/>
    <x v="4"/>
    <n v="233"/>
    <n v="116400"/>
    <n v="50135"/>
  </r>
  <r>
    <d v="2019-01-03T00:00:00"/>
    <x v="2"/>
    <x v="2"/>
    <x v="10"/>
    <n v="743"/>
    <n v="371700"/>
    <n v="33500"/>
  </r>
  <r>
    <d v="2019-01-10T00:00:00"/>
    <x v="2"/>
    <x v="2"/>
    <x v="10"/>
    <n v="10"/>
    <n v="5120"/>
    <n v="0"/>
  </r>
  <r>
    <d v="2019-01-16T00:00:00"/>
    <x v="2"/>
    <x v="2"/>
    <x v="10"/>
    <n v="22"/>
    <n v="11160"/>
    <n v="25000"/>
  </r>
  <r>
    <d v="2019-01-10T00:00:00"/>
    <x v="2"/>
    <x v="2"/>
    <x v="7"/>
    <n v="49"/>
    <n v="24600"/>
    <n v="600"/>
  </r>
  <r>
    <d v="2019-01-03T00:00:00"/>
    <x v="2"/>
    <x v="2"/>
    <x v="3"/>
    <n v="49"/>
    <n v="24680"/>
    <n v="24680"/>
  </r>
  <r>
    <d v="2019-01-02T00:00:00"/>
    <x v="2"/>
    <x v="2"/>
    <x v="3"/>
    <n v="25"/>
    <n v="12640"/>
    <n v="0"/>
  </r>
  <r>
    <d v="2019-01-03T00:00:00"/>
    <x v="2"/>
    <x v="2"/>
    <x v="3"/>
    <n v="96"/>
    <n v="47900"/>
    <n v="12640"/>
  </r>
  <r>
    <d v="2019-01-12T00:00:00"/>
    <x v="2"/>
    <x v="2"/>
    <x v="3"/>
    <n v="102"/>
    <n v="51245"/>
    <n v="16245"/>
  </r>
  <r>
    <d v="2019-01-13T00:00:00"/>
    <x v="2"/>
    <x v="2"/>
    <x v="3"/>
    <n v="28"/>
    <n v="13800"/>
    <n v="0"/>
  </r>
  <r>
    <d v="2019-01-06T00:00:00"/>
    <x v="2"/>
    <x v="2"/>
    <x v="0"/>
    <n v="47"/>
    <n v="23370"/>
    <n v="370"/>
  </r>
  <r>
    <d v="2019-01-03T00:00:00"/>
    <x v="2"/>
    <x v="2"/>
    <x v="0"/>
    <n v="56"/>
    <n v="27795"/>
    <n v="0"/>
  </r>
  <r>
    <d v="2019-01-20T00:00:00"/>
    <x v="2"/>
    <x v="2"/>
    <x v="0"/>
    <n v="96"/>
    <n v="48200"/>
    <n v="49700"/>
  </r>
  <r>
    <d v="2019-01-24T00:00:00"/>
    <x v="2"/>
    <x v="2"/>
    <x v="0"/>
    <n v="202"/>
    <n v="101200"/>
    <n v="5000"/>
  </r>
  <r>
    <d v="2019-01-28T00:00:00"/>
    <x v="2"/>
    <x v="2"/>
    <x v="0"/>
    <n v="149"/>
    <n v="74405"/>
    <n v="20295"/>
  </r>
  <r>
    <d v="2019-01-17T00:00:00"/>
    <x v="2"/>
    <x v="2"/>
    <x v="7"/>
    <n v="882"/>
    <n v="441190"/>
    <n v="0"/>
  </r>
  <r>
    <d v="2019-01-19T00:00:00"/>
    <x v="2"/>
    <x v="2"/>
    <x v="7"/>
    <n v="45"/>
    <n v="22580"/>
    <n v="12580"/>
  </r>
  <r>
    <d v="2019-01-27T00:00:00"/>
    <x v="2"/>
    <x v="2"/>
    <x v="7"/>
    <n v="59"/>
    <n v="29680"/>
    <n v="0"/>
  </r>
  <r>
    <d v="2019-01-18T00:00:00"/>
    <x v="2"/>
    <x v="2"/>
    <x v="2"/>
    <n v="100"/>
    <n v="49860"/>
    <n v="28000"/>
  </r>
  <r>
    <d v="2019-01-07T00:00:00"/>
    <x v="2"/>
    <x v="2"/>
    <x v="8"/>
    <n v="414"/>
    <n v="207120"/>
    <n v="0"/>
  </r>
  <r>
    <d v="2019-01-26T00:00:00"/>
    <x v="2"/>
    <x v="2"/>
    <x v="8"/>
    <n v="18"/>
    <n v="8880"/>
    <n v="25000"/>
  </r>
  <r>
    <d v="2019-01-06T00:00:00"/>
    <x v="2"/>
    <x v="2"/>
    <x v="9"/>
    <n v="288"/>
    <n v="143810"/>
    <n v="100000"/>
  </r>
  <r>
    <d v="2019-01-11T00:00:00"/>
    <x v="2"/>
    <x v="3"/>
    <x v="4"/>
    <n v="1091"/>
    <n v="545300"/>
    <n v="100000"/>
  </r>
  <r>
    <d v="2019-01-18T00:00:00"/>
    <x v="2"/>
    <x v="3"/>
    <x v="4"/>
    <n v="1646"/>
    <n v="822805"/>
    <n v="600000"/>
  </r>
  <r>
    <d v="2019-01-25T00:00:00"/>
    <x v="2"/>
    <x v="3"/>
    <x v="4"/>
    <n v="858"/>
    <n v="428815"/>
    <n v="1155000"/>
  </r>
  <r>
    <d v="2019-01-04T00:00:00"/>
    <x v="2"/>
    <x v="3"/>
    <x v="11"/>
    <n v="696"/>
    <n v="347895"/>
    <n v="0"/>
  </r>
  <r>
    <d v="2019-01-18T00:00:00"/>
    <x v="2"/>
    <x v="3"/>
    <x v="11"/>
    <n v="260"/>
    <n v="129945"/>
    <n v="0"/>
  </r>
  <r>
    <d v="2019-01-25T00:00:00"/>
    <x v="2"/>
    <x v="3"/>
    <x v="11"/>
    <n v="390"/>
    <n v="195020"/>
    <n v="100000"/>
  </r>
  <r>
    <d v="2019-01-04T00:00:00"/>
    <x v="2"/>
    <x v="3"/>
    <x v="16"/>
    <n v="22"/>
    <n v="11080"/>
    <n v="0"/>
  </r>
  <r>
    <d v="2019-01-11T00:00:00"/>
    <x v="2"/>
    <x v="3"/>
    <x v="16"/>
    <n v="20"/>
    <n v="10215"/>
    <n v="5000"/>
  </r>
  <r>
    <d v="2019-01-18T00:00:00"/>
    <x v="2"/>
    <x v="3"/>
    <x v="16"/>
    <n v="37"/>
    <n v="18715"/>
    <n v="10000"/>
  </r>
  <r>
    <d v="2019-01-04T00:00:00"/>
    <x v="2"/>
    <x v="3"/>
    <x v="14"/>
    <n v="108"/>
    <n v="54000"/>
    <n v="0"/>
  </r>
  <r>
    <d v="2019-01-11T00:00:00"/>
    <x v="2"/>
    <x v="3"/>
    <x v="14"/>
    <n v="607"/>
    <n v="303690"/>
    <n v="0"/>
  </r>
  <r>
    <d v="2019-01-04T00:00:00"/>
    <x v="2"/>
    <x v="3"/>
    <x v="17"/>
    <n v="527"/>
    <n v="263380"/>
    <n v="0"/>
  </r>
  <r>
    <d v="2019-01-11T00:00:00"/>
    <x v="2"/>
    <x v="3"/>
    <x v="17"/>
    <n v="688"/>
    <n v="343865"/>
    <n v="0"/>
  </r>
  <r>
    <d v="2019-01-18T00:00:00"/>
    <x v="2"/>
    <x v="3"/>
    <x v="17"/>
    <n v="218"/>
    <n v="108875"/>
    <n v="30000"/>
  </r>
  <r>
    <d v="2019-01-11T00:00:00"/>
    <x v="2"/>
    <x v="3"/>
    <x v="3"/>
    <n v="272"/>
    <n v="136250"/>
    <n v="0"/>
  </r>
  <r>
    <d v="2019-01-18T00:00:00"/>
    <x v="2"/>
    <x v="3"/>
    <x v="3"/>
    <n v="324"/>
    <n v="161870"/>
    <n v="20000"/>
  </r>
  <r>
    <d v="2019-01-04T00:00:00"/>
    <x v="2"/>
    <x v="3"/>
    <x v="2"/>
    <n v="380"/>
    <n v="190040"/>
    <n v="0"/>
  </r>
  <r>
    <d v="2019-01-04T00:00:00"/>
    <x v="2"/>
    <x v="3"/>
    <x v="11"/>
    <n v="8821"/>
    <n v="4410350"/>
    <n v="3000"/>
  </r>
  <r>
    <d v="2019-01-11T00:00:00"/>
    <x v="2"/>
    <x v="3"/>
    <x v="11"/>
    <n v="1747"/>
    <n v="873575"/>
    <n v="120000"/>
  </r>
  <r>
    <d v="2019-01-18T00:00:00"/>
    <x v="2"/>
    <x v="3"/>
    <x v="11"/>
    <n v="5492"/>
    <n v="2745795"/>
    <n v="0"/>
  </r>
  <r>
    <d v="2019-01-25T00:00:00"/>
    <x v="2"/>
    <x v="3"/>
    <x v="11"/>
    <n v="1303"/>
    <n v="651300"/>
    <n v="860000"/>
  </r>
  <r>
    <d v="2019-01-18T00:00:00"/>
    <x v="2"/>
    <x v="3"/>
    <x v="14"/>
    <n v="37"/>
    <n v="18260"/>
    <n v="0"/>
  </r>
  <r>
    <d v="2019-01-18T00:00:00"/>
    <x v="2"/>
    <x v="3"/>
    <x v="4"/>
    <n v="172"/>
    <n v="86210"/>
    <n v="50000"/>
  </r>
  <r>
    <d v="2019-01-11T00:00:00"/>
    <x v="2"/>
    <x v="3"/>
    <x v="8"/>
    <n v="905"/>
    <n v="452400"/>
    <n v="0"/>
  </r>
  <r>
    <d v="2019-01-18T00:00:00"/>
    <x v="2"/>
    <x v="3"/>
    <x v="8"/>
    <n v="55"/>
    <n v="27400"/>
    <n v="77000"/>
  </r>
  <r>
    <d v="2019-01-04T00:00:00"/>
    <x v="2"/>
    <x v="3"/>
    <x v="12"/>
    <n v="27"/>
    <n v="13470"/>
    <n v="1500"/>
  </r>
  <r>
    <d v="2019-01-04T00:00:00"/>
    <x v="2"/>
    <x v="3"/>
    <x v="1"/>
    <n v="945"/>
    <n v="472520"/>
    <n v="0"/>
  </r>
  <r>
    <d v="2019-01-11T00:00:00"/>
    <x v="2"/>
    <x v="3"/>
    <x v="1"/>
    <n v="1379"/>
    <n v="689560"/>
    <n v="10000"/>
  </r>
  <r>
    <d v="2019-01-18T00:00:00"/>
    <x v="2"/>
    <x v="3"/>
    <x v="1"/>
    <n v="635"/>
    <n v="317570"/>
    <n v="71450"/>
  </r>
  <r>
    <d v="2019-01-25T00:00:00"/>
    <x v="2"/>
    <x v="3"/>
    <x v="1"/>
    <n v="202"/>
    <n v="101000"/>
    <n v="6120"/>
  </r>
  <r>
    <d v="2019-01-04T00:00:00"/>
    <x v="2"/>
    <x v="3"/>
    <x v="2"/>
    <n v="250"/>
    <n v="125045"/>
    <n v="0"/>
  </r>
  <r>
    <d v="2019-01-11T00:00:00"/>
    <x v="2"/>
    <x v="3"/>
    <x v="2"/>
    <n v="339"/>
    <n v="169670"/>
    <n v="0"/>
  </r>
  <r>
    <d v="2019-01-18T00:00:00"/>
    <x v="2"/>
    <x v="3"/>
    <x v="2"/>
    <n v="389"/>
    <n v="194700"/>
    <n v="0"/>
  </r>
  <r>
    <d v="2019-01-25T00:00:00"/>
    <x v="2"/>
    <x v="3"/>
    <x v="2"/>
    <n v="256"/>
    <n v="128240"/>
    <n v="100000"/>
  </r>
  <r>
    <d v="2019-01-18T00:00:00"/>
    <x v="2"/>
    <x v="3"/>
    <x v="15"/>
    <n v="49"/>
    <n v="24430"/>
    <n v="10430"/>
  </r>
  <r>
    <d v="2019-01-04T00:00:00"/>
    <x v="2"/>
    <x v="3"/>
    <x v="1"/>
    <n v="54"/>
    <n v="26880"/>
    <n v="0"/>
  </r>
  <r>
    <d v="2019-01-11T00:00:00"/>
    <x v="2"/>
    <x v="3"/>
    <x v="1"/>
    <n v="345"/>
    <n v="172720"/>
    <n v="935"/>
  </r>
  <r>
    <d v="2019-01-18T00:00:00"/>
    <x v="2"/>
    <x v="3"/>
    <x v="1"/>
    <n v="208"/>
    <n v="104020"/>
    <n v="0"/>
  </r>
  <r>
    <d v="2019-01-04T00:00:00"/>
    <x v="2"/>
    <x v="3"/>
    <x v="8"/>
    <n v="573"/>
    <n v="286610"/>
    <n v="0"/>
  </r>
  <r>
    <d v="2019-01-11T00:00:00"/>
    <x v="2"/>
    <x v="3"/>
    <x v="8"/>
    <n v="428"/>
    <n v="213870"/>
    <n v="71430"/>
  </r>
  <r>
    <d v="2019-01-18T00:00:00"/>
    <x v="2"/>
    <x v="3"/>
    <x v="8"/>
    <n v="78"/>
    <n v="38825"/>
    <n v="49340"/>
  </r>
  <r>
    <d v="2019-01-25T00:00:00"/>
    <x v="2"/>
    <x v="3"/>
    <x v="8"/>
    <n v="193"/>
    <n v="96525"/>
    <n v="68000"/>
  </r>
  <r>
    <d v="2019-01-04T00:00:00"/>
    <x v="2"/>
    <x v="3"/>
    <x v="1"/>
    <n v="1891"/>
    <n v="945670"/>
    <n v="0"/>
  </r>
  <r>
    <d v="2019-01-18T00:00:00"/>
    <x v="2"/>
    <x v="3"/>
    <x v="1"/>
    <n v="90"/>
    <n v="44895"/>
    <n v="0"/>
  </r>
  <r>
    <d v="2019-01-25T00:00:00"/>
    <x v="2"/>
    <x v="3"/>
    <x v="1"/>
    <n v="168"/>
    <n v="84060"/>
    <n v="110000"/>
  </r>
  <r>
    <d v="2019-01-04T00:00:00"/>
    <x v="2"/>
    <x v="3"/>
    <x v="4"/>
    <n v="254"/>
    <n v="126750"/>
    <n v="0"/>
  </r>
  <r>
    <d v="2019-01-25T00:00:00"/>
    <x v="2"/>
    <x v="3"/>
    <x v="4"/>
    <n v="361"/>
    <n v="180290"/>
    <n v="0"/>
  </r>
  <r>
    <d v="2019-01-04T00:00:00"/>
    <x v="2"/>
    <x v="3"/>
    <x v="5"/>
    <n v="78"/>
    <n v="38825"/>
    <n v="2000"/>
  </r>
  <r>
    <d v="2019-01-18T00:00:00"/>
    <x v="2"/>
    <x v="3"/>
    <x v="5"/>
    <n v="106"/>
    <n v="52800"/>
    <n v="12000"/>
  </r>
  <r>
    <d v="2019-01-04T00:00:00"/>
    <x v="2"/>
    <x v="3"/>
    <x v="9"/>
    <n v="481"/>
    <n v="240360"/>
    <n v="0"/>
  </r>
  <r>
    <d v="2019-01-11T00:00:00"/>
    <x v="2"/>
    <x v="3"/>
    <x v="9"/>
    <n v="169"/>
    <n v="84720"/>
    <n v="0"/>
  </r>
  <r>
    <d v="2019-01-18T00:00:00"/>
    <x v="2"/>
    <x v="3"/>
    <x v="9"/>
    <n v="327"/>
    <n v="163560"/>
    <n v="0"/>
  </r>
  <r>
    <d v="2019-01-18T00:00:00"/>
    <x v="2"/>
    <x v="3"/>
    <x v="8"/>
    <n v="294"/>
    <n v="146775"/>
    <n v="0"/>
  </r>
  <r>
    <d v="2019-01-04T00:00:00"/>
    <x v="2"/>
    <x v="3"/>
    <x v="4"/>
    <n v="46"/>
    <n v="23070"/>
    <n v="0"/>
  </r>
  <r>
    <d v="2019-01-25T00:00:00"/>
    <x v="2"/>
    <x v="3"/>
    <x v="4"/>
    <n v="176"/>
    <n v="87810"/>
    <n v="10000"/>
  </r>
  <r>
    <d v="2019-01-04T00:00:00"/>
    <x v="2"/>
    <x v="3"/>
    <x v="11"/>
    <n v="1128"/>
    <n v="563855"/>
    <n v="0"/>
  </r>
  <r>
    <d v="2019-01-11T00:00:00"/>
    <x v="2"/>
    <x v="3"/>
    <x v="11"/>
    <n v="1531"/>
    <n v="765380"/>
    <n v="300000"/>
  </r>
  <r>
    <d v="2019-01-18T00:00:00"/>
    <x v="2"/>
    <x v="3"/>
    <x v="11"/>
    <n v="675"/>
    <n v="337345"/>
    <n v="53000"/>
  </r>
  <r>
    <d v="2019-01-25T00:00:00"/>
    <x v="2"/>
    <x v="3"/>
    <x v="11"/>
    <n v="1394"/>
    <n v="697000"/>
    <n v="311800"/>
  </r>
  <r>
    <d v="2019-01-11T00:00:00"/>
    <x v="2"/>
    <x v="3"/>
    <x v="10"/>
    <n v="61"/>
    <n v="30685"/>
    <n v="2000"/>
  </r>
  <r>
    <d v="2019-01-25T00:00:00"/>
    <x v="2"/>
    <x v="3"/>
    <x v="10"/>
    <n v="46"/>
    <n v="23145"/>
    <n v="8000"/>
  </r>
  <r>
    <d v="2019-01-04T00:00:00"/>
    <x v="2"/>
    <x v="3"/>
    <x v="7"/>
    <n v="161"/>
    <n v="80460"/>
    <n v="0"/>
  </r>
  <r>
    <d v="2019-01-11T00:00:00"/>
    <x v="2"/>
    <x v="3"/>
    <x v="3"/>
    <n v="421"/>
    <n v="210445"/>
    <n v="0"/>
  </r>
  <r>
    <d v="2019-01-11T00:00:00"/>
    <x v="2"/>
    <x v="3"/>
    <x v="1"/>
    <n v="105"/>
    <n v="52500"/>
    <n v="10000"/>
  </r>
  <r>
    <d v="2019-01-18T00:00:00"/>
    <x v="2"/>
    <x v="3"/>
    <x v="1"/>
    <n v="21"/>
    <n v="10525"/>
    <n v="0"/>
  </r>
  <r>
    <d v="2019-01-25T00:00:00"/>
    <x v="2"/>
    <x v="3"/>
    <x v="0"/>
    <n v="407"/>
    <n v="203400"/>
    <n v="0"/>
  </r>
  <r>
    <d v="2019-01-04T00:00:00"/>
    <x v="2"/>
    <x v="3"/>
    <x v="7"/>
    <n v="373"/>
    <n v="186740"/>
    <n v="0"/>
  </r>
  <r>
    <d v="2019-01-25T00:00:00"/>
    <x v="2"/>
    <x v="3"/>
    <x v="7"/>
    <n v="121"/>
    <n v="60275"/>
    <n v="40000"/>
  </r>
  <r>
    <d v="2019-01-11T00:00:00"/>
    <x v="2"/>
    <x v="3"/>
    <x v="13"/>
    <n v="251"/>
    <n v="125410"/>
    <n v="0"/>
  </r>
  <r>
    <d v="2019-01-18T00:00:00"/>
    <x v="2"/>
    <x v="3"/>
    <x v="13"/>
    <n v="370"/>
    <n v="185090"/>
    <n v="10000"/>
  </r>
  <r>
    <d v="2019-01-25T00:00:00"/>
    <x v="2"/>
    <x v="3"/>
    <x v="13"/>
    <n v="108"/>
    <n v="54185"/>
    <n v="40000"/>
  </r>
  <r>
    <d v="2019-01-04T00:00:00"/>
    <x v="2"/>
    <x v="3"/>
    <x v="4"/>
    <n v="812"/>
    <n v="406070"/>
    <n v="0"/>
  </r>
  <r>
    <d v="2019-01-11T00:00:00"/>
    <x v="2"/>
    <x v="3"/>
    <x v="4"/>
    <n v="92"/>
    <n v="46210"/>
    <n v="0"/>
  </r>
  <r>
    <d v="2019-01-18T00:00:00"/>
    <x v="2"/>
    <x v="3"/>
    <x v="4"/>
    <n v="672"/>
    <n v="335970"/>
    <n v="50000"/>
  </r>
  <r>
    <d v="2019-01-25T00:00:00"/>
    <x v="2"/>
    <x v="3"/>
    <x v="4"/>
    <n v="101"/>
    <n v="50525"/>
    <n v="37000"/>
  </r>
  <r>
    <d v="2019-01-04T00:00:00"/>
    <x v="2"/>
    <x v="3"/>
    <x v="1"/>
    <n v="255"/>
    <n v="127430"/>
    <n v="0"/>
  </r>
  <r>
    <d v="2019-01-11T00:00:00"/>
    <x v="2"/>
    <x v="3"/>
    <x v="1"/>
    <n v="194"/>
    <n v="97250"/>
    <n v="50000"/>
  </r>
  <r>
    <d v="2019-01-11T00:00:00"/>
    <x v="2"/>
    <x v="3"/>
    <x v="4"/>
    <n v="1028"/>
    <n v="514020"/>
    <n v="79000"/>
  </r>
  <r>
    <d v="2019-01-18T00:00:00"/>
    <x v="2"/>
    <x v="3"/>
    <x v="4"/>
    <n v="105"/>
    <n v="52590"/>
    <n v="0"/>
  </r>
  <r>
    <d v="2019-01-04T00:00:00"/>
    <x v="2"/>
    <x v="3"/>
    <x v="2"/>
    <n v="1950"/>
    <n v="974855"/>
    <n v="0"/>
  </r>
  <r>
    <d v="2019-01-11T00:00:00"/>
    <x v="2"/>
    <x v="3"/>
    <x v="2"/>
    <n v="1328"/>
    <n v="664230"/>
    <n v="400000"/>
  </r>
  <r>
    <d v="2019-01-18T00:00:00"/>
    <x v="2"/>
    <x v="3"/>
    <x v="2"/>
    <n v="3444"/>
    <n v="1722100"/>
    <n v="300000"/>
  </r>
  <r>
    <d v="2019-01-18T00:00:00"/>
    <x v="2"/>
    <x v="3"/>
    <x v="8"/>
    <n v="452"/>
    <n v="226230"/>
    <n v="30000"/>
  </r>
  <r>
    <d v="2019-01-25T00:00:00"/>
    <x v="2"/>
    <x v="3"/>
    <x v="8"/>
    <n v="14"/>
    <n v="6820"/>
    <n v="30000"/>
  </r>
  <r>
    <d v="2019-01-11T00:00:00"/>
    <x v="2"/>
    <x v="3"/>
    <x v="6"/>
    <n v="663"/>
    <n v="331540"/>
    <n v="25000"/>
  </r>
  <r>
    <d v="2019-01-25T00:00:00"/>
    <x v="2"/>
    <x v="3"/>
    <x v="6"/>
    <n v="575"/>
    <n v="287640"/>
    <n v="0"/>
  </r>
  <r>
    <d v="2019-03-01T00:00:00"/>
    <x v="3"/>
    <x v="0"/>
    <x v="8"/>
    <n v="293"/>
    <n v="146313"/>
    <n v="0"/>
  </r>
  <r>
    <d v="2019-03-01T00:00:00"/>
    <x v="3"/>
    <x v="0"/>
    <x v="4"/>
    <n v="255"/>
    <n v="127332"/>
    <n v="0"/>
  </r>
  <r>
    <d v="2019-03-03T00:00:00"/>
    <x v="3"/>
    <x v="0"/>
    <x v="4"/>
    <n v="1469"/>
    <n v="734672"/>
    <n v="0"/>
  </r>
  <r>
    <d v="2019-03-05T00:00:00"/>
    <x v="3"/>
    <x v="0"/>
    <x v="7"/>
    <n v="428"/>
    <n v="213950"/>
    <n v="0"/>
  </r>
  <r>
    <d v="2019-03-06T00:00:00"/>
    <x v="3"/>
    <x v="0"/>
    <x v="2"/>
    <n v="66"/>
    <n v="33154"/>
    <n v="0"/>
  </r>
  <r>
    <d v="2019-03-08T00:00:00"/>
    <x v="3"/>
    <x v="0"/>
    <x v="2"/>
    <n v="96"/>
    <n v="47947"/>
    <n v="0"/>
  </r>
  <r>
    <d v="2019-03-08T00:00:00"/>
    <x v="3"/>
    <x v="0"/>
    <x v="0"/>
    <n v="248"/>
    <n v="123894"/>
    <n v="0"/>
  </r>
  <r>
    <d v="2019-03-09T00:00:00"/>
    <x v="3"/>
    <x v="0"/>
    <x v="2"/>
    <n v="79"/>
    <n v="39577"/>
    <n v="0"/>
  </r>
  <r>
    <d v="2019-03-09T00:00:00"/>
    <x v="3"/>
    <x v="0"/>
    <x v="9"/>
    <n v="129"/>
    <n v="64320"/>
    <n v="0"/>
  </r>
  <r>
    <d v="2019-03-12T00:00:00"/>
    <x v="3"/>
    <x v="0"/>
    <x v="4"/>
    <n v="159"/>
    <n v="79423"/>
    <n v="0"/>
  </r>
  <r>
    <d v="2019-03-13T00:00:00"/>
    <x v="3"/>
    <x v="0"/>
    <x v="8"/>
    <n v="331"/>
    <n v="165598"/>
    <n v="0"/>
  </r>
  <r>
    <d v="2019-03-13T00:00:00"/>
    <x v="3"/>
    <x v="0"/>
    <x v="4"/>
    <n v="261"/>
    <n v="130440"/>
    <n v="0"/>
  </r>
  <r>
    <d v="2019-03-13T00:00:00"/>
    <x v="3"/>
    <x v="0"/>
    <x v="2"/>
    <n v="373"/>
    <n v="186425"/>
    <n v="0"/>
  </r>
  <r>
    <d v="2019-03-15T00:00:00"/>
    <x v="3"/>
    <x v="0"/>
    <x v="2"/>
    <n v="453"/>
    <n v="226614"/>
    <n v="0"/>
  </r>
  <r>
    <d v="2019-03-16T00:00:00"/>
    <x v="3"/>
    <x v="0"/>
    <x v="2"/>
    <n v="149"/>
    <n v="74386"/>
    <n v="0"/>
  </r>
  <r>
    <d v="2019-03-16T00:00:00"/>
    <x v="3"/>
    <x v="0"/>
    <x v="11"/>
    <n v="158"/>
    <n v="79062"/>
    <n v="0"/>
  </r>
  <r>
    <d v="2019-03-19T00:00:00"/>
    <x v="3"/>
    <x v="0"/>
    <x v="7"/>
    <n v="326"/>
    <n v="163134"/>
    <n v="0"/>
  </r>
  <r>
    <d v="2019-03-20T00:00:00"/>
    <x v="3"/>
    <x v="0"/>
    <x v="0"/>
    <n v="835"/>
    <n v="417517"/>
    <n v="0"/>
  </r>
  <r>
    <d v="2019-03-21T00:00:00"/>
    <x v="3"/>
    <x v="0"/>
    <x v="1"/>
    <n v="512"/>
    <n v="255945"/>
    <n v="0"/>
  </r>
  <r>
    <d v="2019-03-21T00:00:00"/>
    <x v="3"/>
    <x v="0"/>
    <x v="8"/>
    <n v="61"/>
    <n v="30500"/>
    <n v="0"/>
  </r>
  <r>
    <d v="2019-03-22T00:00:00"/>
    <x v="3"/>
    <x v="0"/>
    <x v="0"/>
    <n v="385"/>
    <n v="192552"/>
    <n v="0"/>
  </r>
  <r>
    <d v="2019-03-22T00:00:00"/>
    <x v="3"/>
    <x v="0"/>
    <x v="2"/>
    <n v="60"/>
    <n v="30204"/>
    <n v="0"/>
  </r>
  <r>
    <d v="2019-03-22T00:00:00"/>
    <x v="3"/>
    <x v="0"/>
    <x v="4"/>
    <n v="43"/>
    <n v="21270"/>
    <n v="0"/>
  </r>
  <r>
    <d v="2019-03-23T00:00:00"/>
    <x v="3"/>
    <x v="0"/>
    <x v="13"/>
    <n v="133"/>
    <n v="66554"/>
    <n v="0"/>
  </r>
  <r>
    <d v="2019-03-24T00:00:00"/>
    <x v="3"/>
    <x v="0"/>
    <x v="5"/>
    <n v="84"/>
    <n v="42022"/>
    <n v="0"/>
  </r>
  <r>
    <d v="2019-03-27T00:00:00"/>
    <x v="3"/>
    <x v="0"/>
    <x v="5"/>
    <n v="489"/>
    <n v="244561"/>
    <n v="0"/>
  </r>
  <r>
    <d v="2019-03-27T00:00:00"/>
    <x v="3"/>
    <x v="0"/>
    <x v="2"/>
    <n v="189"/>
    <n v="94480"/>
    <n v="0"/>
  </r>
  <r>
    <d v="2019-03-28T00:00:00"/>
    <x v="3"/>
    <x v="0"/>
    <x v="8"/>
    <n v="77"/>
    <n v="38730"/>
    <n v="0"/>
  </r>
  <r>
    <d v="2019-03-28T00:00:00"/>
    <x v="3"/>
    <x v="0"/>
    <x v="8"/>
    <n v="199"/>
    <n v="99600"/>
    <n v="0"/>
  </r>
  <r>
    <d v="2019-03-29T00:00:00"/>
    <x v="3"/>
    <x v="0"/>
    <x v="14"/>
    <n v="625"/>
    <n v="312699"/>
    <n v="0"/>
  </r>
  <r>
    <d v="2019-03-29T00:00:00"/>
    <x v="3"/>
    <x v="0"/>
    <x v="1"/>
    <n v="320"/>
    <n v="160102"/>
    <n v="0"/>
  </r>
  <r>
    <d v="2019-03-30T00:00:00"/>
    <x v="3"/>
    <x v="0"/>
    <x v="2"/>
    <n v="122"/>
    <n v="61016"/>
    <n v="0"/>
  </r>
  <r>
    <d v="2019-03-31T00:00:00"/>
    <x v="3"/>
    <x v="0"/>
    <x v="7"/>
    <n v="173"/>
    <n v="86486"/>
    <n v="0"/>
  </r>
  <r>
    <d v="2019-03-31T00:00:00"/>
    <x v="3"/>
    <x v="0"/>
    <x v="0"/>
    <n v="17"/>
    <n v="8294"/>
    <n v="0"/>
  </r>
  <r>
    <d v="2019-03-21T00:00:00"/>
    <x v="3"/>
    <x v="1"/>
    <x v="16"/>
    <n v="35"/>
    <n v="17650"/>
    <n v="0"/>
  </r>
  <r>
    <d v="2019-03-07T00:00:00"/>
    <x v="3"/>
    <x v="1"/>
    <x v="6"/>
    <n v="65"/>
    <n v="32500"/>
    <n v="0"/>
  </r>
  <r>
    <d v="2019-03-28T00:00:00"/>
    <x v="3"/>
    <x v="1"/>
    <x v="14"/>
    <n v="82"/>
    <n v="41000"/>
    <n v="0"/>
  </r>
  <r>
    <d v="2019-03-21T00:00:00"/>
    <x v="3"/>
    <x v="1"/>
    <x v="7"/>
    <n v="119"/>
    <n v="59300"/>
    <n v="0"/>
  </r>
  <r>
    <d v="2019-03-28T00:00:00"/>
    <x v="3"/>
    <x v="1"/>
    <x v="3"/>
    <n v="122"/>
    <n v="61240"/>
    <n v="0"/>
  </r>
  <r>
    <d v="2019-03-07T00:00:00"/>
    <x v="3"/>
    <x v="1"/>
    <x v="14"/>
    <n v="127"/>
    <n v="63690"/>
    <n v="0"/>
  </r>
  <r>
    <d v="2019-03-21T00:00:00"/>
    <x v="3"/>
    <x v="1"/>
    <x v="2"/>
    <n v="140"/>
    <n v="69910"/>
    <n v="0"/>
  </r>
  <r>
    <d v="2019-03-07T00:00:00"/>
    <x v="3"/>
    <x v="1"/>
    <x v="4"/>
    <n v="152"/>
    <n v="75800"/>
    <n v="0"/>
  </r>
  <r>
    <d v="2019-03-07T00:00:00"/>
    <x v="3"/>
    <x v="1"/>
    <x v="16"/>
    <n v="170"/>
    <n v="85180"/>
    <n v="0"/>
  </r>
  <r>
    <d v="2019-03-14T00:00:00"/>
    <x v="3"/>
    <x v="1"/>
    <x v="6"/>
    <n v="244"/>
    <n v="122130"/>
    <n v="0"/>
  </r>
  <r>
    <d v="2019-03-14T00:00:00"/>
    <x v="3"/>
    <x v="1"/>
    <x v="8"/>
    <n v="246"/>
    <n v="123210"/>
    <n v="0"/>
  </r>
  <r>
    <d v="2019-03-07T00:00:00"/>
    <x v="3"/>
    <x v="1"/>
    <x v="8"/>
    <n v="295"/>
    <n v="147550"/>
    <n v="0"/>
  </r>
  <r>
    <d v="2019-03-21T00:00:00"/>
    <x v="3"/>
    <x v="1"/>
    <x v="10"/>
    <n v="361"/>
    <n v="180340"/>
    <n v="0"/>
  </r>
  <r>
    <d v="2019-03-21T00:00:00"/>
    <x v="3"/>
    <x v="1"/>
    <x v="14"/>
    <n v="370"/>
    <n v="185000"/>
    <n v="0"/>
  </r>
  <r>
    <d v="2019-03-21T00:00:00"/>
    <x v="3"/>
    <x v="1"/>
    <x v="8"/>
    <n v="415"/>
    <n v="207480"/>
    <n v="0"/>
  </r>
  <r>
    <d v="2019-03-07T00:00:00"/>
    <x v="3"/>
    <x v="1"/>
    <x v="2"/>
    <n v="441"/>
    <n v="220680"/>
    <n v="0"/>
  </r>
  <r>
    <d v="2019-03-14T00:00:00"/>
    <x v="3"/>
    <x v="1"/>
    <x v="8"/>
    <n v="468"/>
    <n v="234060"/>
    <n v="0"/>
  </r>
  <r>
    <d v="2019-03-07T00:00:00"/>
    <x v="3"/>
    <x v="1"/>
    <x v="8"/>
    <n v="472"/>
    <n v="236070"/>
    <n v="0"/>
  </r>
  <r>
    <d v="2019-03-28T00:00:00"/>
    <x v="3"/>
    <x v="1"/>
    <x v="8"/>
    <n v="510"/>
    <n v="254770"/>
    <n v="0"/>
  </r>
  <r>
    <d v="2019-03-07T00:00:00"/>
    <x v="3"/>
    <x v="1"/>
    <x v="4"/>
    <n v="514"/>
    <n v="257040"/>
    <n v="0"/>
  </r>
  <r>
    <d v="2019-03-21T00:00:00"/>
    <x v="3"/>
    <x v="1"/>
    <x v="11"/>
    <n v="523"/>
    <n v="261420"/>
    <n v="0"/>
  </r>
  <r>
    <d v="2019-03-07T00:00:00"/>
    <x v="3"/>
    <x v="1"/>
    <x v="0"/>
    <n v="559"/>
    <n v="279440"/>
    <n v="0"/>
  </r>
  <r>
    <d v="2019-03-14T00:00:00"/>
    <x v="3"/>
    <x v="1"/>
    <x v="2"/>
    <n v="566"/>
    <n v="283195"/>
    <n v="0"/>
  </r>
  <r>
    <d v="2019-03-07T00:00:00"/>
    <x v="3"/>
    <x v="1"/>
    <x v="10"/>
    <n v="578"/>
    <n v="289030"/>
    <n v="0"/>
  </r>
  <r>
    <d v="2019-03-21T00:00:00"/>
    <x v="3"/>
    <x v="1"/>
    <x v="9"/>
    <n v="591"/>
    <n v="295740"/>
    <n v="0"/>
  </r>
  <r>
    <d v="2019-03-01T00:00:00"/>
    <x v="3"/>
    <x v="2"/>
    <x v="4"/>
    <n v="1999"/>
    <n v="999540"/>
    <n v="0"/>
  </r>
  <r>
    <d v="2019-03-01T00:00:00"/>
    <x v="3"/>
    <x v="2"/>
    <x v="12"/>
    <n v="44"/>
    <n v="22170"/>
    <n v="0"/>
  </r>
  <r>
    <d v="2019-03-02T00:00:00"/>
    <x v="3"/>
    <x v="2"/>
    <x v="4"/>
    <n v="61"/>
    <n v="30740"/>
    <n v="0"/>
  </r>
  <r>
    <d v="2019-03-05T00:00:00"/>
    <x v="3"/>
    <x v="2"/>
    <x v="3"/>
    <n v="63"/>
    <n v="31700"/>
    <n v="0"/>
  </r>
  <r>
    <d v="2019-03-07T00:00:00"/>
    <x v="3"/>
    <x v="2"/>
    <x v="1"/>
    <n v="28"/>
    <n v="13840"/>
    <n v="0"/>
  </r>
  <r>
    <d v="2019-03-07T00:00:00"/>
    <x v="3"/>
    <x v="2"/>
    <x v="6"/>
    <n v="421"/>
    <n v="210405"/>
    <n v="0"/>
  </r>
  <r>
    <d v="2019-03-08T00:00:00"/>
    <x v="3"/>
    <x v="2"/>
    <x v="14"/>
    <n v="176"/>
    <n v="87770"/>
    <n v="0"/>
  </r>
  <r>
    <d v="2019-03-08T00:00:00"/>
    <x v="3"/>
    <x v="2"/>
    <x v="9"/>
    <n v="63"/>
    <n v="31335"/>
    <n v="0"/>
  </r>
  <r>
    <d v="2019-03-09T00:00:00"/>
    <x v="3"/>
    <x v="2"/>
    <x v="2"/>
    <n v="25"/>
    <n v="12680"/>
    <n v="0"/>
  </r>
  <r>
    <d v="2019-03-10T00:00:00"/>
    <x v="3"/>
    <x v="2"/>
    <x v="4"/>
    <n v="789"/>
    <n v="394550"/>
    <n v="0"/>
  </r>
  <r>
    <d v="2019-03-10T00:00:00"/>
    <x v="3"/>
    <x v="2"/>
    <x v="7"/>
    <n v="292"/>
    <n v="145850"/>
    <n v="0"/>
  </r>
  <r>
    <d v="2019-03-10T00:00:00"/>
    <x v="3"/>
    <x v="2"/>
    <x v="4"/>
    <n v="345"/>
    <n v="172700"/>
    <n v="0"/>
  </r>
  <r>
    <d v="2019-03-12T00:00:00"/>
    <x v="3"/>
    <x v="2"/>
    <x v="5"/>
    <n v="217"/>
    <n v="108459"/>
    <n v="0"/>
  </r>
  <r>
    <d v="2019-03-13T00:00:00"/>
    <x v="3"/>
    <x v="2"/>
    <x v="3"/>
    <n v="120"/>
    <n v="60070"/>
    <n v="0"/>
  </r>
  <r>
    <d v="2019-03-13T00:00:00"/>
    <x v="3"/>
    <x v="2"/>
    <x v="12"/>
    <n v="89"/>
    <n v="44535"/>
    <n v="0"/>
  </r>
  <r>
    <d v="2019-03-15T00:00:00"/>
    <x v="3"/>
    <x v="2"/>
    <x v="4"/>
    <n v="645"/>
    <n v="322680"/>
    <n v="0"/>
  </r>
  <r>
    <d v="2019-03-16T00:00:00"/>
    <x v="3"/>
    <x v="2"/>
    <x v="7"/>
    <n v="18"/>
    <n v="9130"/>
    <n v="0"/>
  </r>
  <r>
    <d v="2019-03-16T00:00:00"/>
    <x v="3"/>
    <x v="2"/>
    <x v="2"/>
    <n v="158"/>
    <n v="79200"/>
    <n v="0"/>
  </r>
  <r>
    <d v="2019-03-20T00:00:00"/>
    <x v="3"/>
    <x v="2"/>
    <x v="0"/>
    <n v="62"/>
    <n v="30800"/>
    <n v="0"/>
  </r>
  <r>
    <d v="2019-03-21T00:00:00"/>
    <x v="3"/>
    <x v="2"/>
    <x v="4"/>
    <n v="1028"/>
    <n v="513830"/>
    <n v="0"/>
  </r>
  <r>
    <d v="2019-03-22T00:00:00"/>
    <x v="3"/>
    <x v="2"/>
    <x v="2"/>
    <n v="149"/>
    <n v="74480"/>
    <n v="0"/>
  </r>
  <r>
    <d v="2019-03-30T00:00:00"/>
    <x v="3"/>
    <x v="2"/>
    <x v="2"/>
    <n v="32"/>
    <n v="16200"/>
    <n v="0"/>
  </r>
  <r>
    <d v="2019-03-30T00:00:00"/>
    <x v="3"/>
    <x v="2"/>
    <x v="5"/>
    <n v="105"/>
    <n v="52400"/>
    <n v="0"/>
  </r>
  <r>
    <d v="2019-03-07T00:00:00"/>
    <x v="3"/>
    <x v="3"/>
    <x v="17"/>
    <n v="146"/>
    <n v="72960"/>
    <n v="0"/>
  </r>
  <r>
    <d v="2019-03-07T00:00:00"/>
    <x v="3"/>
    <x v="3"/>
    <x v="4"/>
    <n v="142"/>
    <n v="71190"/>
    <n v="0"/>
  </r>
  <r>
    <d v="2019-03-07T00:00:00"/>
    <x v="3"/>
    <x v="3"/>
    <x v="7"/>
    <n v="122"/>
    <n v="60920"/>
    <n v="0"/>
  </r>
  <r>
    <d v="2019-03-07T00:00:00"/>
    <x v="3"/>
    <x v="3"/>
    <x v="4"/>
    <n v="1135"/>
    <n v="567610"/>
    <n v="0"/>
  </r>
  <r>
    <d v="2019-03-07T00:00:00"/>
    <x v="3"/>
    <x v="3"/>
    <x v="9"/>
    <n v="381"/>
    <n v="190680"/>
    <n v="0"/>
  </r>
  <r>
    <d v="2019-03-07T00:00:00"/>
    <x v="3"/>
    <x v="3"/>
    <x v="2"/>
    <n v="287"/>
    <n v="143275"/>
    <n v="0"/>
  </r>
  <r>
    <d v="2019-03-07T00:00:00"/>
    <x v="3"/>
    <x v="3"/>
    <x v="6"/>
    <n v="1359"/>
    <n v="679560"/>
    <n v="0"/>
  </r>
  <r>
    <d v="2019-03-07T00:00:00"/>
    <x v="3"/>
    <x v="3"/>
    <x v="5"/>
    <n v="123"/>
    <n v="61735"/>
    <n v="0"/>
  </r>
  <r>
    <d v="2019-03-07T00:00:00"/>
    <x v="3"/>
    <x v="3"/>
    <x v="15"/>
    <n v="72"/>
    <n v="35825"/>
    <n v="0"/>
  </r>
  <r>
    <d v="2019-03-07T00:00:00"/>
    <x v="3"/>
    <x v="3"/>
    <x v="11"/>
    <n v="5478"/>
    <n v="2738930"/>
    <n v="0"/>
  </r>
  <r>
    <d v="2019-03-07T00:00:00"/>
    <x v="3"/>
    <x v="3"/>
    <x v="8"/>
    <n v="34"/>
    <n v="16975"/>
    <n v="0"/>
  </r>
  <r>
    <d v="2019-03-07T00:00:00"/>
    <x v="3"/>
    <x v="3"/>
    <x v="8"/>
    <n v="328"/>
    <n v="163920"/>
    <n v="0"/>
  </r>
  <r>
    <d v="2019-03-07T00:00:00"/>
    <x v="3"/>
    <x v="3"/>
    <x v="1"/>
    <n v="1233"/>
    <n v="616410"/>
    <n v="0"/>
  </r>
  <r>
    <d v="2019-03-07T00:00:00"/>
    <x v="3"/>
    <x v="3"/>
    <x v="4"/>
    <n v="407"/>
    <n v="203665"/>
    <n v="0"/>
  </r>
  <r>
    <d v="2019-03-07T00:00:00"/>
    <x v="3"/>
    <x v="3"/>
    <x v="8"/>
    <n v="132"/>
    <n v="66000"/>
    <n v="0"/>
  </r>
  <r>
    <d v="2019-03-07T00:00:00"/>
    <x v="3"/>
    <x v="3"/>
    <x v="12"/>
    <n v="19"/>
    <n v="9680"/>
    <n v="0"/>
  </r>
  <r>
    <d v="2019-03-14T00:00:00"/>
    <x v="3"/>
    <x v="3"/>
    <x v="1"/>
    <n v="847"/>
    <n v="423700"/>
    <n v="0"/>
  </r>
  <r>
    <d v="2019-03-14T00:00:00"/>
    <x v="3"/>
    <x v="3"/>
    <x v="4"/>
    <n v="1214"/>
    <n v="606865"/>
    <n v="0"/>
  </r>
  <r>
    <d v="2019-03-14T00:00:00"/>
    <x v="3"/>
    <x v="3"/>
    <x v="4"/>
    <n v="356"/>
    <n v="177750"/>
    <n v="0"/>
  </r>
  <r>
    <d v="2019-03-14T00:00:00"/>
    <x v="3"/>
    <x v="3"/>
    <x v="14"/>
    <n v="292"/>
    <n v="146060"/>
    <n v="0"/>
  </r>
  <r>
    <d v="2019-03-14T00:00:00"/>
    <x v="3"/>
    <x v="3"/>
    <x v="11"/>
    <n v="1417"/>
    <n v="708725"/>
    <n v="0"/>
  </r>
  <r>
    <d v="2019-03-14T00:00:00"/>
    <x v="3"/>
    <x v="3"/>
    <x v="14"/>
    <n v="48"/>
    <n v="23800"/>
    <n v="820000"/>
  </r>
  <r>
    <d v="2019-03-21T00:00:00"/>
    <x v="3"/>
    <x v="3"/>
    <x v="4"/>
    <n v="39"/>
    <n v="19690"/>
    <n v="820000"/>
  </r>
  <r>
    <d v="2019-03-21T00:00:00"/>
    <x v="3"/>
    <x v="3"/>
    <x v="1"/>
    <n v="260"/>
    <n v="129825"/>
    <n v="820000"/>
  </r>
  <r>
    <d v="2019-03-21T00:00:00"/>
    <x v="3"/>
    <x v="3"/>
    <x v="2"/>
    <n v="195"/>
    <n v="97725"/>
    <n v="820000"/>
  </r>
  <r>
    <d v="2019-03-21T00:00:00"/>
    <x v="3"/>
    <x v="3"/>
    <x v="2"/>
    <n v="319"/>
    <n v="159650"/>
    <n v="820000"/>
  </r>
  <r>
    <d v="2019-03-21T00:00:00"/>
    <x v="3"/>
    <x v="3"/>
    <x v="11"/>
    <n v="904"/>
    <n v="452105"/>
    <n v="820000"/>
  </r>
  <r>
    <d v="2019-03-21T00:00:00"/>
    <x v="3"/>
    <x v="3"/>
    <x v="8"/>
    <n v="59"/>
    <n v="29380"/>
    <n v="820000"/>
  </r>
  <r>
    <d v="2019-03-21T00:00:00"/>
    <x v="3"/>
    <x v="3"/>
    <x v="8"/>
    <n v="154"/>
    <n v="77250"/>
    <n v="820000"/>
  </r>
  <r>
    <d v="2019-03-21T00:00:00"/>
    <x v="3"/>
    <x v="3"/>
    <x v="14"/>
    <n v="326"/>
    <n v="162815"/>
    <n v="820000"/>
  </r>
  <r>
    <d v="2019-03-14T00:00:00"/>
    <x v="3"/>
    <x v="2"/>
    <x v="3"/>
    <n v="113"/>
    <n v="56625"/>
    <n v="820000"/>
  </r>
  <r>
    <d v="2019-03-31T00:00:00"/>
    <x v="3"/>
    <x v="0"/>
    <x v="6"/>
    <n v="257"/>
    <n v="128400"/>
    <n v="820000"/>
  </r>
  <r>
    <d v="2019-03-07T00:00:00"/>
    <x v="3"/>
    <x v="3"/>
    <x v="1"/>
    <n v="99"/>
    <n v="49495"/>
    <n v="495"/>
  </r>
  <r>
    <d v="2019-03-06T00:00:00"/>
    <x v="3"/>
    <x v="0"/>
    <x v="2"/>
    <n v="191"/>
    <n v="95600"/>
    <n v="600"/>
  </r>
  <r>
    <d v="2019-03-14T00:00:00"/>
    <x v="3"/>
    <x v="0"/>
    <x v="11"/>
    <n v="127"/>
    <n v="63522"/>
    <n v="1670"/>
  </r>
  <r>
    <d v="2019-03-13T00:00:00"/>
    <x v="3"/>
    <x v="0"/>
    <x v="2"/>
    <n v="83"/>
    <n v="41614"/>
    <n v="1800"/>
  </r>
  <r>
    <d v="2019-03-14T00:00:00"/>
    <x v="3"/>
    <x v="0"/>
    <x v="6"/>
    <n v="106"/>
    <n v="52800"/>
    <n v="2800"/>
  </r>
  <r>
    <d v="2019-03-02T00:00:00"/>
    <x v="3"/>
    <x v="2"/>
    <x v="8"/>
    <n v="106"/>
    <n v="52865"/>
    <n v="2865"/>
  </r>
  <r>
    <d v="2019-03-21T00:00:00"/>
    <x v="3"/>
    <x v="0"/>
    <x v="1"/>
    <n v="116"/>
    <n v="58250"/>
    <n v="3250"/>
  </r>
  <r>
    <d v="2019-03-29T00:00:00"/>
    <x v="3"/>
    <x v="2"/>
    <x v="5"/>
    <n v="87"/>
    <n v="43690"/>
    <n v="3690"/>
  </r>
  <r>
    <d v="2019-03-14T00:00:00"/>
    <x v="3"/>
    <x v="2"/>
    <x v="2"/>
    <n v="70"/>
    <n v="35005"/>
    <n v="5000"/>
  </r>
  <r>
    <d v="2019-03-20T00:00:00"/>
    <x v="3"/>
    <x v="2"/>
    <x v="2"/>
    <n v="45"/>
    <n v="22280"/>
    <n v="5000"/>
  </r>
  <r>
    <d v="2019-03-21T00:00:00"/>
    <x v="3"/>
    <x v="3"/>
    <x v="9"/>
    <n v="484"/>
    <n v="241920"/>
    <n v="5000"/>
  </r>
  <r>
    <d v="2019-03-21T00:00:00"/>
    <x v="3"/>
    <x v="3"/>
    <x v="10"/>
    <n v="9"/>
    <n v="4300"/>
    <n v="5000"/>
  </r>
  <r>
    <d v="2019-03-28T00:00:00"/>
    <x v="3"/>
    <x v="3"/>
    <x v="16"/>
    <n v="29"/>
    <n v="14480"/>
    <n v="5000"/>
  </r>
  <r>
    <d v="2019-03-14T00:00:00"/>
    <x v="3"/>
    <x v="1"/>
    <x v="0"/>
    <n v="318"/>
    <n v="158980"/>
    <n v="6600"/>
  </r>
  <r>
    <d v="2019-03-19T00:00:00"/>
    <x v="3"/>
    <x v="0"/>
    <x v="1"/>
    <n v="94"/>
    <n v="46780"/>
    <n v="6780"/>
  </r>
  <r>
    <d v="2019-03-23T00:00:00"/>
    <x v="3"/>
    <x v="0"/>
    <x v="10"/>
    <n v="134"/>
    <n v="66900"/>
    <n v="6900"/>
  </r>
  <r>
    <d v="2019-03-21T00:00:00"/>
    <x v="3"/>
    <x v="1"/>
    <x v="3"/>
    <n v="4"/>
    <n v="2160"/>
    <n v="8000"/>
  </r>
  <r>
    <d v="2019-03-28T00:00:00"/>
    <x v="3"/>
    <x v="1"/>
    <x v="12"/>
    <n v="58"/>
    <n v="29010"/>
    <n v="8400"/>
  </r>
  <r>
    <d v="2019-03-12T00:00:00"/>
    <x v="3"/>
    <x v="0"/>
    <x v="1"/>
    <n v="23"/>
    <n v="11490"/>
    <n v="10000"/>
  </r>
  <r>
    <d v="2019-03-29T00:00:00"/>
    <x v="3"/>
    <x v="0"/>
    <x v="4"/>
    <n v="224"/>
    <n v="112088"/>
    <n v="10000"/>
  </r>
  <r>
    <d v="2019-03-14T00:00:00"/>
    <x v="3"/>
    <x v="1"/>
    <x v="8"/>
    <n v="80"/>
    <n v="39810"/>
    <n v="10000"/>
  </r>
  <r>
    <d v="2019-03-07T00:00:00"/>
    <x v="3"/>
    <x v="1"/>
    <x v="3"/>
    <n v="208"/>
    <n v="104200"/>
    <n v="10000"/>
  </r>
  <r>
    <d v="2019-03-24T00:00:00"/>
    <x v="3"/>
    <x v="2"/>
    <x v="2"/>
    <n v="138"/>
    <n v="68820"/>
    <n v="10000"/>
  </r>
  <r>
    <d v="2019-03-07T00:00:00"/>
    <x v="3"/>
    <x v="3"/>
    <x v="16"/>
    <n v="49"/>
    <n v="24435"/>
    <n v="10000"/>
  </r>
  <r>
    <d v="2019-03-07T00:00:00"/>
    <x v="3"/>
    <x v="3"/>
    <x v="10"/>
    <n v="27"/>
    <n v="13455"/>
    <n v="10000"/>
  </r>
  <r>
    <d v="2019-03-12T00:00:00"/>
    <x v="3"/>
    <x v="0"/>
    <x v="7"/>
    <n v="21"/>
    <n v="10440"/>
    <n v="10440"/>
  </r>
  <r>
    <d v="2019-03-12T00:00:00"/>
    <x v="3"/>
    <x v="2"/>
    <x v="2"/>
    <n v="170"/>
    <n v="84925"/>
    <n v="11500"/>
  </r>
  <r>
    <d v="2019-03-06T00:00:00"/>
    <x v="3"/>
    <x v="2"/>
    <x v="12"/>
    <n v="24"/>
    <n v="12200"/>
    <n v="12200"/>
  </r>
  <r>
    <d v="2019-03-03T00:00:00"/>
    <x v="3"/>
    <x v="2"/>
    <x v="14"/>
    <n v="126"/>
    <n v="63000"/>
    <n v="13000"/>
  </r>
  <r>
    <d v="2019-03-05T00:00:00"/>
    <x v="3"/>
    <x v="2"/>
    <x v="10"/>
    <n v="476"/>
    <n v="237970"/>
    <n v="13400"/>
  </r>
  <r>
    <d v="2019-03-12T00:00:00"/>
    <x v="3"/>
    <x v="0"/>
    <x v="8"/>
    <n v="27"/>
    <n v="13680"/>
    <n v="13680"/>
  </r>
  <r>
    <d v="2019-03-12T00:00:00"/>
    <x v="3"/>
    <x v="0"/>
    <x v="0"/>
    <n v="28"/>
    <n v="13990"/>
    <n v="13990"/>
  </r>
  <r>
    <d v="2019-03-02T00:00:00"/>
    <x v="3"/>
    <x v="2"/>
    <x v="2"/>
    <n v="52"/>
    <n v="25765"/>
    <n v="14000"/>
  </r>
  <r>
    <d v="2019-03-28T00:00:00"/>
    <x v="3"/>
    <x v="2"/>
    <x v="2"/>
    <n v="211"/>
    <n v="105710"/>
    <n v="14000"/>
  </r>
  <r>
    <d v="2019-03-01T00:00:00"/>
    <x v="3"/>
    <x v="0"/>
    <x v="2"/>
    <n v="165"/>
    <n v="82359"/>
    <n v="15000"/>
  </r>
  <r>
    <d v="2019-03-14T00:00:00"/>
    <x v="3"/>
    <x v="1"/>
    <x v="16"/>
    <n v="70"/>
    <n v="34810"/>
    <n v="15000"/>
  </r>
  <r>
    <d v="2019-03-21T00:00:00"/>
    <x v="3"/>
    <x v="1"/>
    <x v="3"/>
    <n v="114"/>
    <n v="56990"/>
    <n v="15000"/>
  </r>
  <r>
    <d v="2019-03-21T00:00:00"/>
    <x v="3"/>
    <x v="1"/>
    <x v="16"/>
    <n v="494"/>
    <n v="246810"/>
    <n v="15000"/>
  </r>
  <r>
    <d v="2019-03-02T00:00:00"/>
    <x v="3"/>
    <x v="2"/>
    <x v="1"/>
    <n v="58"/>
    <n v="29190"/>
    <n v="15000"/>
  </r>
  <r>
    <d v="2019-03-05T00:00:00"/>
    <x v="3"/>
    <x v="2"/>
    <x v="2"/>
    <n v="95"/>
    <n v="47275"/>
    <n v="15000"/>
  </r>
  <r>
    <d v="2019-03-16T00:00:00"/>
    <x v="3"/>
    <x v="2"/>
    <x v="1"/>
    <n v="84"/>
    <n v="41820"/>
    <n v="15000"/>
  </r>
  <r>
    <d v="2019-03-07T00:00:00"/>
    <x v="3"/>
    <x v="3"/>
    <x v="3"/>
    <n v="231"/>
    <n v="115320"/>
    <n v="15000"/>
  </r>
  <r>
    <d v="2019-03-21T00:00:00"/>
    <x v="3"/>
    <x v="3"/>
    <x v="17"/>
    <n v="545"/>
    <n v="272695"/>
    <n v="15000"/>
  </r>
  <r>
    <d v="2019-03-24T00:00:00"/>
    <x v="3"/>
    <x v="0"/>
    <x v="1"/>
    <n v="70"/>
    <n v="35067"/>
    <n v="18000"/>
  </r>
  <r>
    <d v="2019-03-21T00:00:00"/>
    <x v="3"/>
    <x v="1"/>
    <x v="2"/>
    <n v="78"/>
    <n v="39240"/>
    <n v="18710"/>
  </r>
  <r>
    <d v="2019-03-14T00:00:00"/>
    <x v="3"/>
    <x v="0"/>
    <x v="1"/>
    <n v="37"/>
    <n v="18730"/>
    <n v="18730"/>
  </r>
  <r>
    <d v="2019-03-24T00:00:00"/>
    <x v="3"/>
    <x v="0"/>
    <x v="8"/>
    <n v="77"/>
    <n v="38730"/>
    <n v="19000"/>
  </r>
  <r>
    <d v="2019-03-24T00:00:00"/>
    <x v="3"/>
    <x v="0"/>
    <x v="14"/>
    <n v="40"/>
    <n v="20055"/>
    <n v="20000"/>
  </r>
  <r>
    <d v="2019-03-14T00:00:00"/>
    <x v="3"/>
    <x v="1"/>
    <x v="10"/>
    <n v="126"/>
    <n v="63060"/>
    <n v="20000"/>
  </r>
  <r>
    <d v="2019-03-28T00:00:00"/>
    <x v="3"/>
    <x v="1"/>
    <x v="4"/>
    <n v="185"/>
    <n v="92360"/>
    <n v="20000"/>
  </r>
  <r>
    <d v="2019-03-07T00:00:00"/>
    <x v="3"/>
    <x v="1"/>
    <x v="6"/>
    <n v="312"/>
    <n v="155880"/>
    <n v="20000"/>
  </r>
  <r>
    <d v="2019-03-14T00:00:00"/>
    <x v="3"/>
    <x v="1"/>
    <x v="5"/>
    <n v="459"/>
    <n v="229420"/>
    <n v="20000"/>
  </r>
  <r>
    <d v="2019-03-08T00:00:00"/>
    <x v="3"/>
    <x v="2"/>
    <x v="1"/>
    <n v="86"/>
    <n v="42840"/>
    <n v="20000"/>
  </r>
  <r>
    <d v="2019-03-10T00:00:00"/>
    <x v="3"/>
    <x v="2"/>
    <x v="0"/>
    <n v="275"/>
    <n v="137290"/>
    <n v="20000"/>
  </r>
  <r>
    <d v="2019-03-07T00:00:00"/>
    <x v="3"/>
    <x v="3"/>
    <x v="13"/>
    <n v="200"/>
    <n v="99750"/>
    <n v="20000"/>
  </r>
  <r>
    <d v="2019-03-14T00:00:00"/>
    <x v="3"/>
    <x v="3"/>
    <x v="4"/>
    <n v="248"/>
    <n v="124170"/>
    <n v="20000"/>
  </r>
  <r>
    <d v="2019-03-14T00:00:00"/>
    <x v="3"/>
    <x v="3"/>
    <x v="13"/>
    <n v="119"/>
    <n v="59385"/>
    <n v="20000"/>
  </r>
  <r>
    <d v="2019-03-21T00:00:00"/>
    <x v="3"/>
    <x v="3"/>
    <x v="1"/>
    <n v="169"/>
    <n v="84385"/>
    <n v="20000"/>
  </r>
  <r>
    <d v="2019-03-06T00:00:00"/>
    <x v="3"/>
    <x v="2"/>
    <x v="2"/>
    <n v="44"/>
    <n v="21875"/>
    <n v="21000"/>
  </r>
  <r>
    <d v="2019-03-13T00:00:00"/>
    <x v="3"/>
    <x v="0"/>
    <x v="9"/>
    <n v="42"/>
    <n v="21200"/>
    <n v="21200"/>
  </r>
  <r>
    <d v="2019-03-19T00:00:00"/>
    <x v="3"/>
    <x v="2"/>
    <x v="2"/>
    <n v="190"/>
    <n v="94880"/>
    <n v="23500"/>
  </r>
  <r>
    <d v="2019-03-12T00:00:00"/>
    <x v="3"/>
    <x v="0"/>
    <x v="2"/>
    <n v="48"/>
    <n v="24211"/>
    <n v="25000"/>
  </r>
  <r>
    <d v="2019-03-20T00:00:00"/>
    <x v="3"/>
    <x v="0"/>
    <x v="0"/>
    <n v="130"/>
    <n v="65126"/>
    <n v="25000"/>
  </r>
  <r>
    <d v="2019-03-23T00:00:00"/>
    <x v="3"/>
    <x v="2"/>
    <x v="2"/>
    <n v="100"/>
    <n v="50070"/>
    <n v="25000"/>
  </r>
  <r>
    <d v="2019-03-07T00:00:00"/>
    <x v="3"/>
    <x v="1"/>
    <x v="12"/>
    <n v="37"/>
    <n v="18670"/>
    <n v="25770"/>
  </r>
  <r>
    <d v="2019-03-28T00:00:00"/>
    <x v="3"/>
    <x v="2"/>
    <x v="3"/>
    <n v="54"/>
    <n v="26900"/>
    <n v="26900"/>
  </r>
  <r>
    <d v="2019-03-16T00:00:00"/>
    <x v="3"/>
    <x v="0"/>
    <x v="1"/>
    <n v="55"/>
    <n v="27700"/>
    <n v="27700"/>
  </r>
  <r>
    <d v="2019-03-01T00:00:00"/>
    <x v="3"/>
    <x v="0"/>
    <x v="7"/>
    <n v="217"/>
    <n v="108341"/>
    <n v="30000"/>
  </r>
  <r>
    <d v="2019-03-05T00:00:00"/>
    <x v="3"/>
    <x v="0"/>
    <x v="2"/>
    <n v="20"/>
    <n v="10001"/>
    <n v="30000"/>
  </r>
  <r>
    <d v="2019-03-13T00:00:00"/>
    <x v="3"/>
    <x v="0"/>
    <x v="0"/>
    <n v="28"/>
    <n v="13970"/>
    <n v="30000"/>
  </r>
  <r>
    <d v="2019-03-14T00:00:00"/>
    <x v="3"/>
    <x v="1"/>
    <x v="2"/>
    <n v="102"/>
    <n v="51050"/>
    <n v="30000"/>
  </r>
  <r>
    <d v="2019-03-21T00:00:00"/>
    <x v="3"/>
    <x v="1"/>
    <x v="5"/>
    <n v="168"/>
    <n v="83980"/>
    <n v="30000"/>
  </r>
  <r>
    <d v="2019-03-14T00:00:00"/>
    <x v="3"/>
    <x v="1"/>
    <x v="6"/>
    <n v="177"/>
    <n v="88600"/>
    <n v="30000"/>
  </r>
  <r>
    <d v="2019-03-21T00:00:00"/>
    <x v="3"/>
    <x v="1"/>
    <x v="8"/>
    <n v="299"/>
    <n v="149360"/>
    <n v="30000"/>
  </r>
  <r>
    <d v="2019-03-07T00:00:00"/>
    <x v="3"/>
    <x v="1"/>
    <x v="1"/>
    <n v="332"/>
    <n v="165860"/>
    <n v="30000"/>
  </r>
  <r>
    <d v="2019-03-20T00:00:00"/>
    <x v="3"/>
    <x v="2"/>
    <x v="4"/>
    <n v="54"/>
    <n v="27120"/>
    <n v="30000"/>
  </r>
  <r>
    <d v="2019-03-21T00:00:00"/>
    <x v="3"/>
    <x v="3"/>
    <x v="13"/>
    <n v="97"/>
    <n v="48515"/>
    <n v="30000"/>
  </r>
  <r>
    <d v="2019-03-10T00:00:00"/>
    <x v="3"/>
    <x v="2"/>
    <x v="2"/>
    <n v="24"/>
    <n v="11827"/>
    <n v="30520"/>
  </r>
  <r>
    <d v="2019-03-14T00:00:00"/>
    <x v="3"/>
    <x v="1"/>
    <x v="2"/>
    <n v="119"/>
    <n v="59600"/>
    <n v="33390"/>
  </r>
  <r>
    <d v="2019-03-15T00:00:00"/>
    <x v="3"/>
    <x v="0"/>
    <x v="1"/>
    <n v="69"/>
    <n v="34490"/>
    <n v="34490"/>
  </r>
  <r>
    <d v="2019-03-20T00:00:00"/>
    <x v="3"/>
    <x v="0"/>
    <x v="2"/>
    <n v="173"/>
    <n v="86501"/>
    <n v="35000"/>
  </r>
  <r>
    <d v="2019-03-14T00:00:00"/>
    <x v="3"/>
    <x v="1"/>
    <x v="3"/>
    <n v="165"/>
    <n v="82520"/>
    <n v="40000"/>
  </r>
  <r>
    <d v="2019-03-14T00:00:00"/>
    <x v="3"/>
    <x v="1"/>
    <x v="14"/>
    <n v="171"/>
    <n v="85500"/>
    <n v="40000"/>
  </r>
  <r>
    <d v="2019-03-16T00:00:00"/>
    <x v="3"/>
    <x v="2"/>
    <x v="2"/>
    <n v="116"/>
    <n v="58165"/>
    <n v="40000"/>
  </r>
  <r>
    <d v="2019-03-14T00:00:00"/>
    <x v="3"/>
    <x v="3"/>
    <x v="3"/>
    <n v="136"/>
    <n v="68000"/>
    <n v="40000"/>
  </r>
  <r>
    <d v="2019-03-07T00:00:00"/>
    <x v="3"/>
    <x v="1"/>
    <x v="3"/>
    <n v="538"/>
    <n v="268900"/>
    <n v="41000"/>
  </r>
  <r>
    <d v="2019-03-20T00:00:00"/>
    <x v="3"/>
    <x v="2"/>
    <x v="12"/>
    <n v="29"/>
    <n v="14520"/>
    <n v="41200"/>
  </r>
  <r>
    <d v="2019-03-14T00:00:00"/>
    <x v="3"/>
    <x v="0"/>
    <x v="2"/>
    <n v="56"/>
    <n v="28150"/>
    <n v="43150"/>
  </r>
  <r>
    <d v="2019-03-14T00:00:00"/>
    <x v="3"/>
    <x v="1"/>
    <x v="17"/>
    <n v="214"/>
    <n v="106970"/>
    <n v="44300"/>
  </r>
  <r>
    <d v="2019-03-20T00:00:00"/>
    <x v="3"/>
    <x v="0"/>
    <x v="1"/>
    <n v="189"/>
    <n v="94285"/>
    <n v="45000"/>
  </r>
  <r>
    <d v="2019-03-15T00:00:00"/>
    <x v="3"/>
    <x v="0"/>
    <x v="0"/>
    <n v="145"/>
    <n v="72280"/>
    <n v="46000"/>
  </r>
  <r>
    <d v="2019-03-28T00:00:00"/>
    <x v="3"/>
    <x v="1"/>
    <x v="5"/>
    <n v="191"/>
    <n v="95410"/>
    <n v="47000"/>
  </r>
  <r>
    <d v="2019-03-13T00:00:00"/>
    <x v="3"/>
    <x v="0"/>
    <x v="6"/>
    <n v="97"/>
    <n v="48600"/>
    <n v="48600"/>
  </r>
  <r>
    <d v="2019-03-29T00:00:00"/>
    <x v="3"/>
    <x v="0"/>
    <x v="2"/>
    <n v="58"/>
    <n v="29000"/>
    <n v="49000"/>
  </r>
  <r>
    <d v="2019-03-21T00:00:00"/>
    <x v="3"/>
    <x v="3"/>
    <x v="1"/>
    <n v="473"/>
    <n v="236545"/>
    <n v="49000"/>
  </r>
  <r>
    <d v="2019-03-07T00:00:00"/>
    <x v="3"/>
    <x v="0"/>
    <x v="2"/>
    <n v="370"/>
    <n v="184812"/>
    <n v="50000"/>
  </r>
  <r>
    <d v="2019-03-16T00:00:00"/>
    <x v="3"/>
    <x v="0"/>
    <x v="8"/>
    <n v="294"/>
    <n v="146804"/>
    <n v="50000"/>
  </r>
  <r>
    <d v="2019-03-21T00:00:00"/>
    <x v="3"/>
    <x v="0"/>
    <x v="5"/>
    <n v="461"/>
    <n v="230415"/>
    <n v="50000"/>
  </r>
  <r>
    <d v="2019-03-27T00:00:00"/>
    <x v="3"/>
    <x v="0"/>
    <x v="0"/>
    <n v="129"/>
    <n v="64590"/>
    <n v="50000"/>
  </r>
  <r>
    <d v="2019-03-28T00:00:00"/>
    <x v="3"/>
    <x v="0"/>
    <x v="14"/>
    <n v="103"/>
    <n v="51615"/>
    <n v="50000"/>
  </r>
  <r>
    <d v="2019-03-30T00:00:00"/>
    <x v="3"/>
    <x v="0"/>
    <x v="7"/>
    <n v="395"/>
    <n v="197556"/>
    <n v="50000"/>
  </r>
  <r>
    <d v="2019-03-21T00:00:00"/>
    <x v="3"/>
    <x v="1"/>
    <x v="9"/>
    <n v="68"/>
    <n v="33840"/>
    <n v="50000"/>
  </r>
  <r>
    <d v="2019-03-14T00:00:00"/>
    <x v="3"/>
    <x v="1"/>
    <x v="8"/>
    <n v="132"/>
    <n v="66020"/>
    <n v="50000"/>
  </r>
  <r>
    <d v="2019-03-14T00:00:00"/>
    <x v="3"/>
    <x v="1"/>
    <x v="1"/>
    <n v="136"/>
    <n v="68030"/>
    <n v="50000"/>
  </r>
  <r>
    <d v="2019-03-14T00:00:00"/>
    <x v="3"/>
    <x v="1"/>
    <x v="16"/>
    <n v="136"/>
    <n v="67800"/>
    <n v="50000"/>
  </r>
  <r>
    <d v="2019-03-21T00:00:00"/>
    <x v="3"/>
    <x v="1"/>
    <x v="1"/>
    <n v="449"/>
    <n v="224390"/>
    <n v="50000"/>
  </r>
  <r>
    <d v="2019-03-21T00:00:00"/>
    <x v="3"/>
    <x v="1"/>
    <x v="4"/>
    <n v="479"/>
    <n v="239530"/>
    <n v="50000"/>
  </r>
  <r>
    <d v="2019-03-06T00:00:00"/>
    <x v="3"/>
    <x v="2"/>
    <x v="7"/>
    <n v="42"/>
    <n v="20970"/>
    <n v="50000"/>
  </r>
  <r>
    <d v="2019-03-07T00:00:00"/>
    <x v="3"/>
    <x v="3"/>
    <x v="4"/>
    <n v="415"/>
    <n v="207710"/>
    <n v="50000"/>
  </r>
  <r>
    <d v="2019-03-07T00:00:00"/>
    <x v="3"/>
    <x v="3"/>
    <x v="11"/>
    <n v="293"/>
    <n v="146715"/>
    <n v="50000"/>
  </r>
  <r>
    <d v="2019-03-07T00:00:00"/>
    <x v="3"/>
    <x v="3"/>
    <x v="4"/>
    <n v="960"/>
    <n v="480080"/>
    <n v="50000"/>
  </r>
  <r>
    <d v="2019-03-14T00:00:00"/>
    <x v="3"/>
    <x v="3"/>
    <x v="11"/>
    <n v="510"/>
    <n v="255230"/>
    <n v="50000"/>
  </r>
  <r>
    <d v="2019-03-21T00:00:00"/>
    <x v="3"/>
    <x v="3"/>
    <x v="4"/>
    <n v="160"/>
    <n v="79905"/>
    <n v="50000"/>
  </r>
  <r>
    <d v="2019-03-21T00:00:00"/>
    <x v="3"/>
    <x v="3"/>
    <x v="11"/>
    <n v="110"/>
    <n v="54835"/>
    <n v="50000"/>
  </r>
  <r>
    <d v="2019-03-15T00:00:00"/>
    <x v="3"/>
    <x v="0"/>
    <x v="1"/>
    <n v="101"/>
    <n v="50700"/>
    <n v="50700"/>
  </r>
  <r>
    <d v="2019-03-15T00:00:00"/>
    <x v="3"/>
    <x v="0"/>
    <x v="2"/>
    <n v="123"/>
    <n v="61505"/>
    <n v="55000"/>
  </r>
  <r>
    <d v="2019-03-07T00:00:00"/>
    <x v="3"/>
    <x v="1"/>
    <x v="10"/>
    <n v="141"/>
    <n v="70430"/>
    <n v="55000"/>
  </r>
  <r>
    <d v="2019-03-28T00:00:00"/>
    <x v="3"/>
    <x v="1"/>
    <x v="14"/>
    <n v="202"/>
    <n v="101250"/>
    <n v="55000"/>
  </r>
  <r>
    <d v="2019-03-14T00:00:00"/>
    <x v="3"/>
    <x v="1"/>
    <x v="10"/>
    <n v="291"/>
    <n v="145300"/>
    <n v="55300"/>
  </r>
  <r>
    <d v="2019-03-03T00:00:00"/>
    <x v="3"/>
    <x v="0"/>
    <x v="1"/>
    <n v="254"/>
    <n v="127109"/>
    <n v="60000"/>
  </r>
  <r>
    <d v="2019-03-14T00:00:00"/>
    <x v="3"/>
    <x v="1"/>
    <x v="3"/>
    <n v="251"/>
    <n v="125644"/>
    <n v="60600"/>
  </r>
  <r>
    <d v="2019-03-29T00:00:00"/>
    <x v="3"/>
    <x v="2"/>
    <x v="2"/>
    <n v="205"/>
    <n v="102596"/>
    <n v="60895"/>
  </r>
  <r>
    <d v="2019-03-21T00:00:00"/>
    <x v="3"/>
    <x v="3"/>
    <x v="7"/>
    <n v="154"/>
    <n v="76910"/>
    <n v="60900"/>
  </r>
  <r>
    <d v="2019-03-28T00:00:00"/>
    <x v="3"/>
    <x v="3"/>
    <x v="8"/>
    <n v="13"/>
    <n v="6640"/>
    <n v="62000"/>
  </r>
  <r>
    <d v="2019-03-24T00:00:00"/>
    <x v="3"/>
    <x v="0"/>
    <x v="7"/>
    <n v="105"/>
    <n v="52600"/>
    <n v="62600"/>
  </r>
  <r>
    <d v="2019-03-22T00:00:00"/>
    <x v="3"/>
    <x v="0"/>
    <x v="1"/>
    <n v="46"/>
    <n v="22800"/>
    <n v="62800"/>
  </r>
  <r>
    <d v="2019-03-19T00:00:00"/>
    <x v="3"/>
    <x v="0"/>
    <x v="0"/>
    <n v="27"/>
    <n v="13495"/>
    <n v="63495"/>
  </r>
  <r>
    <d v="2019-03-02T00:00:00"/>
    <x v="3"/>
    <x v="0"/>
    <x v="2"/>
    <n v="201"/>
    <n v="100639"/>
    <n v="65000"/>
  </r>
  <r>
    <d v="2019-03-13T00:00:00"/>
    <x v="3"/>
    <x v="2"/>
    <x v="2"/>
    <n v="150"/>
    <n v="75240"/>
    <n v="65000"/>
  </r>
  <r>
    <d v="2019-03-21T00:00:00"/>
    <x v="3"/>
    <x v="3"/>
    <x v="8"/>
    <n v="302"/>
    <n v="151100"/>
    <n v="65000"/>
  </r>
  <r>
    <d v="2019-03-21T00:00:00"/>
    <x v="3"/>
    <x v="3"/>
    <x v="4"/>
    <n v="160"/>
    <n v="79760"/>
    <n v="65000"/>
  </r>
  <r>
    <d v="2019-03-05T00:00:00"/>
    <x v="3"/>
    <x v="0"/>
    <x v="0"/>
    <n v="142"/>
    <n v="70995"/>
    <n v="65785"/>
  </r>
  <r>
    <d v="2019-03-21T00:00:00"/>
    <x v="3"/>
    <x v="0"/>
    <x v="2"/>
    <n v="252"/>
    <n v="125970"/>
    <n v="68970"/>
  </r>
  <r>
    <d v="2019-03-27T00:00:00"/>
    <x v="3"/>
    <x v="0"/>
    <x v="2"/>
    <n v="213"/>
    <n v="106556"/>
    <n v="69000"/>
  </r>
  <r>
    <d v="2019-03-07T00:00:00"/>
    <x v="3"/>
    <x v="1"/>
    <x v="5"/>
    <n v="532"/>
    <n v="265813"/>
    <n v="70000"/>
  </r>
  <r>
    <d v="2019-03-07T00:00:00"/>
    <x v="3"/>
    <x v="3"/>
    <x v="0"/>
    <n v="286"/>
    <n v="143200"/>
    <n v="73000"/>
  </r>
  <r>
    <d v="2019-03-28T00:00:00"/>
    <x v="3"/>
    <x v="1"/>
    <x v="3"/>
    <n v="221"/>
    <n v="110620"/>
    <n v="74300"/>
  </r>
  <r>
    <d v="2019-03-07T00:00:00"/>
    <x v="3"/>
    <x v="1"/>
    <x v="1"/>
    <n v="400"/>
    <n v="200020"/>
    <n v="75000"/>
  </r>
  <r>
    <d v="2019-03-21T00:00:00"/>
    <x v="3"/>
    <x v="1"/>
    <x v="3"/>
    <n v="306"/>
    <n v="153000"/>
    <n v="75200"/>
  </r>
  <r>
    <d v="2019-03-21T00:00:00"/>
    <x v="3"/>
    <x v="1"/>
    <x v="1"/>
    <n v="603"/>
    <n v="301700"/>
    <n v="80800"/>
  </r>
  <r>
    <d v="2019-03-23T00:00:00"/>
    <x v="3"/>
    <x v="0"/>
    <x v="2"/>
    <n v="213"/>
    <n v="106363"/>
    <n v="86300"/>
  </r>
  <r>
    <d v="2019-03-14T00:00:00"/>
    <x v="3"/>
    <x v="1"/>
    <x v="12"/>
    <n v="256"/>
    <n v="127840"/>
    <n v="89520"/>
  </r>
  <r>
    <d v="2019-03-12T00:00:00"/>
    <x v="3"/>
    <x v="0"/>
    <x v="11"/>
    <n v="482"/>
    <n v="240805"/>
    <n v="90000"/>
  </r>
  <r>
    <d v="2019-03-28T00:00:00"/>
    <x v="3"/>
    <x v="1"/>
    <x v="4"/>
    <n v="66"/>
    <n v="32960"/>
    <n v="90000"/>
  </r>
  <r>
    <d v="2019-03-07T00:00:00"/>
    <x v="3"/>
    <x v="3"/>
    <x v="2"/>
    <n v="2550"/>
    <n v="1274965"/>
    <n v="90000"/>
  </r>
  <r>
    <d v="2019-03-14T00:00:00"/>
    <x v="3"/>
    <x v="3"/>
    <x v="8"/>
    <n v="98"/>
    <n v="48895"/>
    <n v="98000"/>
  </r>
  <r>
    <d v="2019-03-06T00:00:00"/>
    <x v="3"/>
    <x v="0"/>
    <x v="0"/>
    <n v="363"/>
    <n v="181606"/>
    <n v="100000"/>
  </r>
  <r>
    <d v="2019-03-27T00:00:00"/>
    <x v="3"/>
    <x v="0"/>
    <x v="4"/>
    <n v="347"/>
    <n v="173720"/>
    <n v="100000"/>
  </r>
  <r>
    <d v="2019-03-27T00:00:00"/>
    <x v="3"/>
    <x v="0"/>
    <x v="0"/>
    <n v="79"/>
    <n v="39570"/>
    <n v="100000"/>
  </r>
  <r>
    <d v="2019-03-29T00:00:00"/>
    <x v="3"/>
    <x v="0"/>
    <x v="2"/>
    <n v="93"/>
    <n v="46683"/>
    <n v="100000"/>
  </r>
  <r>
    <d v="2019-03-14T00:00:00"/>
    <x v="3"/>
    <x v="3"/>
    <x v="1"/>
    <n v="60"/>
    <n v="29825"/>
    <n v="100000"/>
  </r>
  <r>
    <d v="2019-03-21T00:00:00"/>
    <x v="3"/>
    <x v="3"/>
    <x v="11"/>
    <n v="617"/>
    <n v="308690"/>
    <n v="100000"/>
  </r>
  <r>
    <d v="2019-03-21T00:00:00"/>
    <x v="3"/>
    <x v="3"/>
    <x v="2"/>
    <n v="734"/>
    <n v="367125"/>
    <n v="100000"/>
  </r>
  <r>
    <d v="2019-03-07T00:00:00"/>
    <x v="3"/>
    <x v="3"/>
    <x v="8"/>
    <n v="517"/>
    <n v="258340"/>
    <n v="103000"/>
  </r>
  <r>
    <d v="2019-03-14T00:00:00"/>
    <x v="3"/>
    <x v="1"/>
    <x v="4"/>
    <n v="181"/>
    <n v="90300"/>
    <n v="105800"/>
  </r>
  <r>
    <d v="2019-03-07T00:00:00"/>
    <x v="3"/>
    <x v="1"/>
    <x v="11"/>
    <n v="456"/>
    <n v="228250"/>
    <n v="120000"/>
  </r>
  <r>
    <d v="2019-03-28T00:00:00"/>
    <x v="3"/>
    <x v="0"/>
    <x v="0"/>
    <n v="283"/>
    <n v="141580"/>
    <n v="125000"/>
  </r>
  <r>
    <d v="2019-03-28T00:00:00"/>
    <x v="3"/>
    <x v="3"/>
    <x v="3"/>
    <n v="138"/>
    <n v="68900"/>
    <n v="130000"/>
  </r>
  <r>
    <d v="2019-03-28T00:00:00"/>
    <x v="3"/>
    <x v="1"/>
    <x v="16"/>
    <n v="168"/>
    <n v="83810"/>
    <n v="140000"/>
  </r>
  <r>
    <d v="2019-03-07T00:00:00"/>
    <x v="3"/>
    <x v="3"/>
    <x v="1"/>
    <n v="105"/>
    <n v="52650"/>
    <n v="150000"/>
  </r>
  <r>
    <d v="2019-03-28T00:00:00"/>
    <x v="3"/>
    <x v="1"/>
    <x v="2"/>
    <n v="124"/>
    <n v="61980"/>
    <n v="183950"/>
  </r>
  <r>
    <d v="2019-03-28T00:00:00"/>
    <x v="3"/>
    <x v="1"/>
    <x v="17"/>
    <n v="356"/>
    <n v="177920"/>
    <n v="192900"/>
  </r>
  <r>
    <d v="2019-03-14T00:00:00"/>
    <x v="3"/>
    <x v="3"/>
    <x v="4"/>
    <n v="1166"/>
    <n v="583230"/>
    <n v="200000"/>
  </r>
  <r>
    <d v="2019-03-28T00:00:00"/>
    <x v="3"/>
    <x v="3"/>
    <x v="8"/>
    <n v="190"/>
    <n v="94755"/>
    <n v="252600"/>
  </r>
  <r>
    <d v="2019-03-07T00:00:00"/>
    <x v="3"/>
    <x v="3"/>
    <x v="11"/>
    <n v="1457"/>
    <n v="728520"/>
    <n v="270000"/>
  </r>
  <r>
    <d v="2019-03-10T00:00:00"/>
    <x v="3"/>
    <x v="0"/>
    <x v="4"/>
    <n v="324"/>
    <n v="161910"/>
    <n v="300000"/>
  </r>
  <r>
    <d v="2019-03-21T00:00:00"/>
    <x v="3"/>
    <x v="3"/>
    <x v="4"/>
    <n v="417"/>
    <n v="208405"/>
    <n v="300000"/>
  </r>
  <r>
    <d v="2019-03-28T00:00:00"/>
    <x v="3"/>
    <x v="1"/>
    <x v="1"/>
    <n v="564"/>
    <n v="282230"/>
    <n v="305460"/>
  </r>
  <r>
    <d v="2019-03-28T00:00:00"/>
    <x v="3"/>
    <x v="1"/>
    <x v="1"/>
    <n v="270"/>
    <n v="134860"/>
    <n v="350000"/>
  </r>
  <r>
    <d v="2019-03-28T00:00:00"/>
    <x v="3"/>
    <x v="1"/>
    <x v="4"/>
    <n v="422"/>
    <n v="211230"/>
    <n v="365000"/>
  </r>
  <r>
    <d v="2019-03-28T00:00:00"/>
    <x v="3"/>
    <x v="1"/>
    <x v="8"/>
    <n v="534"/>
    <n v="267220"/>
    <n v="445300"/>
  </r>
  <r>
    <d v="2019-03-28T00:00:00"/>
    <x v="3"/>
    <x v="1"/>
    <x v="1"/>
    <n v="527"/>
    <n v="263340"/>
    <n v="479000"/>
  </r>
  <r>
    <d v="2019-03-14T00:00:00"/>
    <x v="3"/>
    <x v="1"/>
    <x v="1"/>
    <n v="96"/>
    <n v="48200"/>
    <n v="515500"/>
  </r>
  <r>
    <d v="2019-03-28T00:00:00"/>
    <x v="3"/>
    <x v="1"/>
    <x v="4"/>
    <n v="157"/>
    <n v="78690"/>
    <n v="796500"/>
  </r>
  <r>
    <d v="2019-03-28T00:00:00"/>
    <x v="3"/>
    <x v="1"/>
    <x v="0"/>
    <n v="392"/>
    <n v="195950"/>
    <n v="820000"/>
  </r>
  <r>
    <d v="2019-05-02T00:00:00"/>
    <x v="4"/>
    <x v="0"/>
    <x v="0"/>
    <n v="180"/>
    <n v="30812"/>
    <n v="56135"/>
  </r>
  <r>
    <d v="2019-05-02T00:00:00"/>
    <x v="4"/>
    <x v="0"/>
    <x v="1"/>
    <n v="410"/>
    <n v="104947"/>
    <n v="94975"/>
  </r>
  <r>
    <d v="2019-05-02T00:00:00"/>
    <x v="4"/>
    <x v="0"/>
    <x v="2"/>
    <n v="361"/>
    <n v="133458"/>
    <n v="43315"/>
  </r>
  <r>
    <d v="2019-05-02T00:00:00"/>
    <x v="4"/>
    <x v="0"/>
    <x v="3"/>
    <n v="262"/>
    <n v="91500"/>
    <n v="35600"/>
  </r>
  <r>
    <d v="2019-05-02T00:00:00"/>
    <x v="4"/>
    <x v="0"/>
    <x v="4"/>
    <n v="729"/>
    <n v="212786"/>
    <n v="145102"/>
  </r>
  <r>
    <d v="2019-05-03T00:00:00"/>
    <x v="4"/>
    <x v="0"/>
    <x v="2"/>
    <n v="186"/>
    <n v="46370"/>
    <n v="43315"/>
  </r>
  <r>
    <d v="2019-05-03T00:00:00"/>
    <x v="4"/>
    <x v="0"/>
    <x v="0"/>
    <n v="193"/>
    <n v="36801"/>
    <n v="2056185"/>
  </r>
  <r>
    <d v="2019-05-03T00:00:00"/>
    <x v="4"/>
    <x v="0"/>
    <x v="5"/>
    <n v="594"/>
    <n v="246907"/>
    <n v="197107"/>
  </r>
  <r>
    <d v="2019-05-04T00:00:00"/>
    <x v="4"/>
    <x v="0"/>
    <x v="3"/>
    <n v="412"/>
    <n v="166731"/>
    <n v="85660"/>
  </r>
  <r>
    <d v="2019-05-04T00:00:00"/>
    <x v="4"/>
    <x v="0"/>
    <x v="6"/>
    <n v="531"/>
    <n v="222824"/>
    <n v="40226"/>
  </r>
  <r>
    <d v="2019-05-04T00:00:00"/>
    <x v="4"/>
    <x v="0"/>
    <x v="1"/>
    <n v="431"/>
    <n v="115545"/>
    <n v="124975"/>
  </r>
  <r>
    <d v="2019-05-05T00:00:00"/>
    <x v="4"/>
    <x v="0"/>
    <x v="0"/>
    <n v="261"/>
    <n v="71120"/>
    <n v="96185"/>
  </r>
  <r>
    <d v="2019-05-05T00:00:00"/>
    <x v="4"/>
    <x v="0"/>
    <x v="7"/>
    <n v="311"/>
    <n v="75305"/>
    <n v="89652"/>
  </r>
  <r>
    <d v="2019-05-05T00:00:00"/>
    <x v="4"/>
    <x v="0"/>
    <x v="0"/>
    <n v="318"/>
    <n v="99609"/>
    <n v="106185"/>
  </r>
  <r>
    <d v="2019-05-05T00:00:00"/>
    <x v="4"/>
    <x v="0"/>
    <x v="3"/>
    <n v="174"/>
    <n v="99000"/>
    <n v="2035660"/>
  </r>
  <r>
    <d v="2019-05-06T00:00:00"/>
    <x v="4"/>
    <x v="0"/>
    <x v="8"/>
    <n v="211"/>
    <n v="105262"/>
    <n v="2046773"/>
  </r>
  <r>
    <d v="2019-05-06T00:00:00"/>
    <x v="4"/>
    <x v="0"/>
    <x v="2"/>
    <n v="188"/>
    <n v="47195"/>
    <n v="2043315"/>
  </r>
  <r>
    <d v="2019-05-07T00:00:00"/>
    <x v="4"/>
    <x v="0"/>
    <x v="2"/>
    <n v="132"/>
    <n v="19340"/>
    <n v="2043097"/>
  </r>
  <r>
    <d v="2019-05-07T00:00:00"/>
    <x v="4"/>
    <x v="0"/>
    <x v="0"/>
    <n v="288"/>
    <n v="84610"/>
    <n v="2056185"/>
  </r>
  <r>
    <d v="2019-05-09T00:00:00"/>
    <x v="4"/>
    <x v="0"/>
    <x v="2"/>
    <n v="516"/>
    <n v="211280"/>
    <n v="83315"/>
  </r>
  <r>
    <d v="2019-05-09T00:00:00"/>
    <x v="4"/>
    <x v="0"/>
    <x v="0"/>
    <n v="452"/>
    <n v="166485"/>
    <n v="76185"/>
  </r>
  <r>
    <d v="2019-05-09T00:00:00"/>
    <x v="4"/>
    <x v="0"/>
    <x v="2"/>
    <n v="245"/>
    <n v="75894"/>
    <n v="74315"/>
  </r>
  <r>
    <d v="2019-05-10T00:00:00"/>
    <x v="4"/>
    <x v="0"/>
    <x v="9"/>
    <n v="172"/>
    <n v="58213"/>
    <n v="50949"/>
  </r>
  <r>
    <d v="2019-05-11T00:00:00"/>
    <x v="4"/>
    <x v="0"/>
    <x v="8"/>
    <n v="236"/>
    <n v="67620"/>
    <n v="50855"/>
  </r>
  <r>
    <d v="2019-05-11T00:00:00"/>
    <x v="4"/>
    <x v="0"/>
    <x v="10"/>
    <n v="146"/>
    <n v="57180"/>
    <n v="85228"/>
  </r>
  <r>
    <d v="2019-05-11T00:00:00"/>
    <x v="4"/>
    <x v="0"/>
    <x v="11"/>
    <n v="868"/>
    <n v="189800"/>
    <n v="303595"/>
  </r>
  <r>
    <d v="2019-05-11T00:00:00"/>
    <x v="4"/>
    <x v="0"/>
    <x v="12"/>
    <n v="220"/>
    <n v="104943"/>
    <n v="13461"/>
  </r>
  <r>
    <d v="2019-05-11T00:00:00"/>
    <x v="4"/>
    <x v="0"/>
    <x v="1"/>
    <n v="299"/>
    <n v="49640"/>
    <n v="109975"/>
  </r>
  <r>
    <d v="2019-05-11T00:00:00"/>
    <x v="4"/>
    <x v="0"/>
    <x v="0"/>
    <n v="262"/>
    <n v="71526"/>
    <n v="2056185"/>
  </r>
  <r>
    <d v="2019-05-12T00:00:00"/>
    <x v="4"/>
    <x v="0"/>
    <x v="4"/>
    <n v="768"/>
    <n v="232260"/>
    <n v="2145215"/>
  </r>
  <r>
    <d v="2019-05-12T00:00:00"/>
    <x v="4"/>
    <x v="0"/>
    <x v="0"/>
    <n v="360"/>
    <n v="120599"/>
    <n v="116585"/>
  </r>
  <r>
    <d v="2019-05-12T00:00:00"/>
    <x v="4"/>
    <x v="0"/>
    <x v="0"/>
    <n v="539"/>
    <n v="210081"/>
    <n v="56185"/>
  </r>
  <r>
    <d v="2019-05-12T00:00:00"/>
    <x v="4"/>
    <x v="0"/>
    <x v="1"/>
    <n v="287"/>
    <n v="43460"/>
    <n v="102975"/>
  </r>
  <r>
    <d v="2019-05-13T00:00:00"/>
    <x v="4"/>
    <x v="0"/>
    <x v="7"/>
    <n v="562"/>
    <n v="186374"/>
    <n v="89675"/>
  </r>
  <r>
    <d v="2019-05-17T00:00:00"/>
    <x v="4"/>
    <x v="0"/>
    <x v="4"/>
    <n v="5302"/>
    <n v="2520899"/>
    <n v="145215"/>
  </r>
  <r>
    <d v="2019-05-17T00:00:00"/>
    <x v="4"/>
    <x v="0"/>
    <x v="13"/>
    <n v="180"/>
    <n v="62013"/>
    <n v="75914"/>
  </r>
  <r>
    <d v="2019-05-17T00:00:00"/>
    <x v="4"/>
    <x v="0"/>
    <x v="2"/>
    <n v="205"/>
    <n v="55890"/>
    <n v="43315"/>
  </r>
  <r>
    <d v="2019-05-17T00:00:00"/>
    <x v="4"/>
    <x v="0"/>
    <x v="1"/>
    <n v="924"/>
    <n v="361940"/>
    <n v="94975"/>
  </r>
  <r>
    <d v="2019-05-18T00:00:00"/>
    <x v="4"/>
    <x v="0"/>
    <x v="13"/>
    <n v="197"/>
    <n v="70457"/>
    <n v="70950"/>
  </r>
  <r>
    <d v="2019-05-18T00:00:00"/>
    <x v="4"/>
    <x v="0"/>
    <x v="4"/>
    <n v="643"/>
    <n v="169885"/>
    <n v="145215"/>
  </r>
  <r>
    <d v="2019-05-18T00:00:00"/>
    <x v="4"/>
    <x v="0"/>
    <x v="0"/>
    <n v="695"/>
    <n v="288152"/>
    <n v="156185"/>
  </r>
  <r>
    <d v="2019-05-18T00:00:00"/>
    <x v="4"/>
    <x v="0"/>
    <x v="8"/>
    <n v="188"/>
    <n v="43423"/>
    <n v="77655"/>
  </r>
  <r>
    <d v="2019-05-18T00:00:00"/>
    <x v="4"/>
    <x v="0"/>
    <x v="8"/>
    <n v="149"/>
    <n v="24140"/>
    <n v="53775"/>
  </r>
  <r>
    <d v="2019-05-18T00:00:00"/>
    <x v="4"/>
    <x v="0"/>
    <x v="9"/>
    <n v="120"/>
    <n v="31925"/>
    <n v="110975"/>
  </r>
  <r>
    <d v="2019-05-18T00:00:00"/>
    <x v="4"/>
    <x v="0"/>
    <x v="5"/>
    <n v="254"/>
    <n v="76778"/>
    <n v="66580"/>
  </r>
  <r>
    <d v="2019-05-18T00:00:00"/>
    <x v="4"/>
    <x v="0"/>
    <x v="2"/>
    <n v="181"/>
    <n v="43795"/>
    <n v="63815"/>
  </r>
  <r>
    <d v="2019-05-19T00:00:00"/>
    <x v="4"/>
    <x v="0"/>
    <x v="0"/>
    <n v="171"/>
    <n v="26230"/>
    <n v="60185"/>
  </r>
  <r>
    <d v="2019-05-20T00:00:00"/>
    <x v="4"/>
    <x v="0"/>
    <x v="2"/>
    <n v="525"/>
    <n v="215803"/>
    <n v="63315"/>
  </r>
  <r>
    <d v="2019-05-20T00:00:00"/>
    <x v="4"/>
    <x v="0"/>
    <x v="7"/>
    <n v="1225"/>
    <n v="518127"/>
    <n v="2089675"/>
  </r>
  <r>
    <d v="2019-05-20T00:00:00"/>
    <x v="4"/>
    <x v="0"/>
    <x v="14"/>
    <n v="426"/>
    <n v="167880"/>
    <n v="2041025"/>
  </r>
  <r>
    <d v="2019-05-20T00:00:00"/>
    <x v="4"/>
    <x v="0"/>
    <x v="11"/>
    <n v="861"/>
    <n v="186522"/>
    <n v="2233595"/>
  </r>
  <r>
    <d v="2019-05-21T00:00:00"/>
    <x v="4"/>
    <x v="0"/>
    <x v="2"/>
    <n v="274"/>
    <n v="90614"/>
    <n v="53315"/>
  </r>
  <r>
    <d v="2019-05-21T00:00:00"/>
    <x v="4"/>
    <x v="0"/>
    <x v="5"/>
    <n v="272"/>
    <n v="85675"/>
    <n v="47130"/>
  </r>
  <r>
    <d v="2019-05-21T00:00:00"/>
    <x v="4"/>
    <x v="0"/>
    <x v="0"/>
    <n v="518"/>
    <n v="199746"/>
    <n v="56185"/>
  </r>
  <r>
    <d v="2019-05-23T00:00:00"/>
    <x v="4"/>
    <x v="0"/>
    <x v="7"/>
    <n v="836"/>
    <n v="323570"/>
    <n v="89675"/>
  </r>
  <r>
    <d v="2019-05-23T00:00:00"/>
    <x v="4"/>
    <x v="0"/>
    <x v="5"/>
    <n v="339"/>
    <n v="119073"/>
    <n v="47130"/>
  </r>
  <r>
    <d v="2019-05-23T00:00:00"/>
    <x v="4"/>
    <x v="0"/>
    <x v="0"/>
    <n v="413"/>
    <n v="147235"/>
    <n v="56185"/>
  </r>
  <r>
    <d v="2019-05-24T00:00:00"/>
    <x v="4"/>
    <x v="0"/>
    <x v="4"/>
    <n v="1117"/>
    <n v="406957"/>
    <n v="145215"/>
  </r>
  <r>
    <d v="2019-05-24T00:00:00"/>
    <x v="4"/>
    <x v="0"/>
    <x v="0"/>
    <n v="583"/>
    <n v="232070"/>
    <n v="116185"/>
  </r>
  <r>
    <d v="2019-05-25T00:00:00"/>
    <x v="4"/>
    <x v="0"/>
    <x v="4"/>
    <n v="1796"/>
    <n v="746301"/>
    <n v="2145215"/>
  </r>
  <r>
    <d v="2019-05-25T00:00:00"/>
    <x v="4"/>
    <x v="0"/>
    <x v="2"/>
    <n v="606"/>
    <n v="256199"/>
    <n v="2043315"/>
  </r>
  <r>
    <d v="2019-05-25T00:00:00"/>
    <x v="4"/>
    <x v="0"/>
    <x v="9"/>
    <n v="750"/>
    <n v="347170"/>
    <n v="2025975"/>
  </r>
  <r>
    <d v="2019-05-26T00:00:00"/>
    <x v="4"/>
    <x v="0"/>
    <x v="2"/>
    <n v="282"/>
    <n v="94364"/>
    <n v="123315"/>
  </r>
  <r>
    <d v="2019-05-26T00:00:00"/>
    <x v="4"/>
    <x v="0"/>
    <x v="2"/>
    <n v="1364"/>
    <n v="635220"/>
    <n v="93315"/>
  </r>
  <r>
    <d v="2019-05-26T00:00:00"/>
    <x v="4"/>
    <x v="0"/>
    <x v="9"/>
    <n v="223"/>
    <n v="83361"/>
    <n v="45975"/>
  </r>
  <r>
    <d v="2019-05-27T00:00:00"/>
    <x v="4"/>
    <x v="0"/>
    <x v="2"/>
    <n v="156"/>
    <n v="31195"/>
    <n v="43315"/>
  </r>
  <r>
    <d v="2019-05-27T00:00:00"/>
    <x v="4"/>
    <x v="0"/>
    <x v="4"/>
    <n v="487"/>
    <n v="92065"/>
    <n v="168915"/>
  </r>
  <r>
    <d v="2019-05-28T00:00:00"/>
    <x v="4"/>
    <x v="0"/>
    <x v="1"/>
    <n v="320"/>
    <n v="59950"/>
    <n v="94975"/>
  </r>
  <r>
    <d v="2019-05-26T00:00:00"/>
    <x v="4"/>
    <x v="1"/>
    <x v="12"/>
    <n v="54"/>
    <n v="11950"/>
    <n v="13465"/>
  </r>
  <r>
    <d v="2019-05-11T00:00:00"/>
    <x v="4"/>
    <x v="1"/>
    <x v="15"/>
    <n v="102"/>
    <n v="19070"/>
    <n v="28578"/>
  </r>
  <r>
    <d v="2019-05-11T00:00:00"/>
    <x v="4"/>
    <x v="1"/>
    <x v="3"/>
    <n v="126"/>
    <n v="23460"/>
    <n v="46160"/>
  </r>
  <r>
    <d v="2019-05-26T00:00:00"/>
    <x v="4"/>
    <x v="1"/>
    <x v="12"/>
    <n v="66"/>
    <n v="17980"/>
    <n v="13465"/>
  </r>
  <r>
    <d v="2019-05-26T00:00:00"/>
    <x v="4"/>
    <x v="1"/>
    <x v="8"/>
    <n v="161"/>
    <n v="30150"/>
    <n v="50855"/>
  </r>
  <r>
    <d v="2019-05-26T00:00:00"/>
    <x v="4"/>
    <x v="1"/>
    <x v="14"/>
    <n v="148"/>
    <n v="28980"/>
    <n v="141050"/>
  </r>
  <r>
    <d v="2019-05-26T00:00:00"/>
    <x v="4"/>
    <x v="1"/>
    <x v="13"/>
    <n v="106"/>
    <n v="25015"/>
    <n v="25950"/>
  </r>
  <r>
    <d v="2019-05-26T00:00:00"/>
    <x v="4"/>
    <x v="1"/>
    <x v="3"/>
    <n v="149"/>
    <n v="35030"/>
    <n v="35660"/>
  </r>
  <r>
    <d v="2019-05-26T00:00:00"/>
    <x v="4"/>
    <x v="1"/>
    <x v="12"/>
    <n v="87"/>
    <n v="28270"/>
    <n v="13465"/>
  </r>
  <r>
    <d v="2019-05-11T00:00:00"/>
    <x v="4"/>
    <x v="1"/>
    <x v="6"/>
    <n v="165"/>
    <n v="39750"/>
    <n v="65245"/>
  </r>
  <r>
    <d v="2019-05-26T00:00:00"/>
    <x v="4"/>
    <x v="1"/>
    <x v="12"/>
    <n v="98"/>
    <n v="34080"/>
    <n v="13465"/>
  </r>
  <r>
    <d v="2019-05-18T00:00:00"/>
    <x v="4"/>
    <x v="1"/>
    <x v="8"/>
    <n v="203"/>
    <n v="51370"/>
    <n v="50855"/>
  </r>
  <r>
    <d v="2019-05-18T00:00:00"/>
    <x v="4"/>
    <x v="1"/>
    <x v="3"/>
    <n v="175"/>
    <n v="48080"/>
    <n v="107560"/>
  </r>
  <r>
    <d v="2019-05-26T00:00:00"/>
    <x v="4"/>
    <x v="1"/>
    <x v="8"/>
    <n v="205"/>
    <n v="51990"/>
    <n v="50855"/>
  </r>
  <r>
    <d v="2019-05-04T00:00:00"/>
    <x v="4"/>
    <x v="1"/>
    <x v="6"/>
    <n v="186"/>
    <n v="50400"/>
    <n v="90245"/>
  </r>
  <r>
    <d v="2019-05-18T00:00:00"/>
    <x v="4"/>
    <x v="1"/>
    <x v="3"/>
    <n v="176"/>
    <n v="48740"/>
    <n v="135160"/>
  </r>
  <r>
    <d v="2019-05-18T00:00:00"/>
    <x v="4"/>
    <x v="1"/>
    <x v="16"/>
    <n v="212"/>
    <n v="54220"/>
    <n v="61370"/>
  </r>
  <r>
    <d v="2019-05-26T00:00:00"/>
    <x v="4"/>
    <x v="1"/>
    <x v="10"/>
    <n v="206"/>
    <n v="54110"/>
    <n v="44435"/>
  </r>
  <r>
    <d v="2019-05-18T00:00:00"/>
    <x v="4"/>
    <x v="1"/>
    <x v="8"/>
    <n v="219"/>
    <n v="59460"/>
    <n v="50855"/>
  </r>
  <r>
    <d v="2019-05-11T00:00:00"/>
    <x v="4"/>
    <x v="1"/>
    <x v="8"/>
    <n v="223"/>
    <n v="61370"/>
    <n v="146855"/>
  </r>
  <r>
    <d v="2019-05-18T00:00:00"/>
    <x v="4"/>
    <x v="1"/>
    <x v="15"/>
    <n v="178"/>
    <n v="56860"/>
    <n v="63090"/>
  </r>
  <r>
    <d v="2019-05-18T00:00:00"/>
    <x v="4"/>
    <x v="1"/>
    <x v="6"/>
    <n v="211"/>
    <n v="62655"/>
    <n v="40245"/>
  </r>
  <r>
    <d v="2019-05-04T00:00:00"/>
    <x v="4"/>
    <x v="1"/>
    <x v="6"/>
    <n v="214"/>
    <n v="64120"/>
    <n v="92155"/>
  </r>
  <r>
    <d v="2019-05-26T00:00:00"/>
    <x v="4"/>
    <x v="1"/>
    <x v="14"/>
    <n v="194"/>
    <n v="66995"/>
    <n v="41050"/>
  </r>
  <r>
    <d v="2019-05-11T00:00:00"/>
    <x v="4"/>
    <x v="1"/>
    <x v="2"/>
    <n v="233"/>
    <n v="70060"/>
    <n v="43315"/>
  </r>
  <r>
    <d v="2019-05-18T00:00:00"/>
    <x v="4"/>
    <x v="1"/>
    <x v="1"/>
    <n v="381"/>
    <n v="90630"/>
    <n v="184495"/>
  </r>
  <r>
    <d v="2019-05-18T00:00:00"/>
    <x v="4"/>
    <x v="1"/>
    <x v="10"/>
    <n v="246"/>
    <n v="74530"/>
    <n v="44435"/>
  </r>
  <r>
    <d v="2019-05-18T00:00:00"/>
    <x v="4"/>
    <x v="1"/>
    <x v="12"/>
    <n v="157"/>
    <n v="63680"/>
    <n v="13465"/>
  </r>
  <r>
    <d v="2019-05-26T00:00:00"/>
    <x v="4"/>
    <x v="1"/>
    <x v="5"/>
    <n v="256"/>
    <n v="77800"/>
    <n v="47130"/>
  </r>
  <r>
    <d v="2019-05-04T00:00:00"/>
    <x v="4"/>
    <x v="1"/>
    <x v="4"/>
    <n v="533"/>
    <n v="114865"/>
    <n v="255215"/>
  </r>
  <r>
    <d v="2019-05-26T00:00:00"/>
    <x v="4"/>
    <x v="1"/>
    <x v="9"/>
    <n v="181"/>
    <n v="73245"/>
    <n v="25975"/>
  </r>
  <r>
    <d v="2019-05-18T00:00:00"/>
    <x v="4"/>
    <x v="1"/>
    <x v="3"/>
    <n v="238"/>
    <n v="79560"/>
    <n v="40120"/>
  </r>
  <r>
    <d v="2019-05-11T00:00:00"/>
    <x v="4"/>
    <x v="1"/>
    <x v="5"/>
    <n v="270"/>
    <n v="84850"/>
    <n v="147130"/>
  </r>
  <r>
    <d v="2019-05-26T00:00:00"/>
    <x v="4"/>
    <x v="1"/>
    <x v="2"/>
    <n v="264"/>
    <n v="85580"/>
    <n v="43315"/>
  </r>
  <r>
    <d v="2019-05-11T00:00:00"/>
    <x v="4"/>
    <x v="1"/>
    <x v="17"/>
    <n v="287"/>
    <n v="95330"/>
    <n v="147933"/>
  </r>
  <r>
    <d v="2019-05-11T00:00:00"/>
    <x v="4"/>
    <x v="1"/>
    <x v="8"/>
    <n v="288"/>
    <n v="93800"/>
    <n v="50855"/>
  </r>
  <r>
    <d v="2019-05-11T00:00:00"/>
    <x v="4"/>
    <x v="1"/>
    <x v="12"/>
    <n v="194"/>
    <n v="82090"/>
    <n v="38965"/>
  </r>
  <r>
    <d v="2019-05-04T00:00:00"/>
    <x v="4"/>
    <x v="1"/>
    <x v="12"/>
    <n v="198"/>
    <n v="84180"/>
    <n v="63465"/>
  </r>
  <r>
    <d v="2019-05-18T00:00:00"/>
    <x v="4"/>
    <x v="1"/>
    <x v="2"/>
    <n v="299"/>
    <n v="103080"/>
    <n v="126745"/>
  </r>
  <r>
    <d v="2019-05-04T00:00:00"/>
    <x v="4"/>
    <x v="1"/>
    <x v="1"/>
    <n v="449"/>
    <n v="124530"/>
    <n v="194975"/>
  </r>
  <r>
    <d v="2019-05-11T00:00:00"/>
    <x v="4"/>
    <x v="1"/>
    <x v="3"/>
    <n v="307"/>
    <n v="113930"/>
    <n v="165660"/>
  </r>
  <r>
    <d v="2019-05-26T00:00:00"/>
    <x v="4"/>
    <x v="1"/>
    <x v="6"/>
    <n v="315"/>
    <n v="120750"/>
    <n v="40245"/>
  </r>
  <r>
    <d v="2019-05-04T00:00:00"/>
    <x v="4"/>
    <x v="1"/>
    <x v="11"/>
    <n v="879"/>
    <n v="195440"/>
    <n v="233595"/>
  </r>
  <r>
    <d v="2019-05-26T00:00:00"/>
    <x v="4"/>
    <x v="1"/>
    <x v="8"/>
    <n v="356"/>
    <n v="127580"/>
    <n v="50855"/>
  </r>
  <r>
    <d v="2019-05-18T00:00:00"/>
    <x v="4"/>
    <x v="1"/>
    <x v="1"/>
    <n v="496"/>
    <n v="147910"/>
    <n v="194975"/>
  </r>
  <r>
    <d v="2019-05-11T00:00:00"/>
    <x v="4"/>
    <x v="1"/>
    <x v="16"/>
    <n v="364"/>
    <n v="133560"/>
    <n v="179405"/>
  </r>
  <r>
    <d v="2019-05-18T00:00:00"/>
    <x v="4"/>
    <x v="1"/>
    <x v="7"/>
    <n v="491"/>
    <n v="151195"/>
    <n v="89675"/>
  </r>
  <r>
    <d v="2019-05-11T00:00:00"/>
    <x v="4"/>
    <x v="1"/>
    <x v="8"/>
    <n v="382"/>
    <n v="140940"/>
    <n v="146855"/>
  </r>
  <r>
    <d v="2019-05-11T00:00:00"/>
    <x v="4"/>
    <x v="1"/>
    <x v="0"/>
    <n v="408"/>
    <n v="144680"/>
    <n v="236185"/>
  </r>
  <r>
    <d v="2019-05-11T00:00:00"/>
    <x v="4"/>
    <x v="1"/>
    <x v="2"/>
    <n v="374"/>
    <n v="140280"/>
    <n v="93315"/>
  </r>
  <r>
    <d v="2019-05-04T00:00:00"/>
    <x v="4"/>
    <x v="1"/>
    <x v="13"/>
    <n v="315"/>
    <n v="136835"/>
    <n v="25950"/>
  </r>
  <r>
    <d v="2019-05-04T00:00:00"/>
    <x v="4"/>
    <x v="1"/>
    <x v="8"/>
    <n v="391"/>
    <n v="145290"/>
    <n v="171855"/>
  </r>
  <r>
    <d v="2019-05-11T00:00:00"/>
    <x v="4"/>
    <x v="1"/>
    <x v="9"/>
    <n v="338"/>
    <n v="141260"/>
    <n v="25975"/>
  </r>
  <r>
    <d v="2019-05-11T00:00:00"/>
    <x v="4"/>
    <x v="1"/>
    <x v="10"/>
    <n v="395"/>
    <n v="148740"/>
    <n v="44435"/>
  </r>
  <r>
    <d v="2019-05-04T00:00:00"/>
    <x v="4"/>
    <x v="1"/>
    <x v="1"/>
    <n v="543"/>
    <n v="171450"/>
    <n v="363975"/>
  </r>
  <r>
    <d v="2019-05-04T00:00:00"/>
    <x v="4"/>
    <x v="1"/>
    <x v="3"/>
    <n v="393"/>
    <n v="157305"/>
    <n v="65660"/>
  </r>
  <r>
    <d v="2019-05-26T00:00:00"/>
    <x v="4"/>
    <x v="1"/>
    <x v="1"/>
    <n v="563"/>
    <n v="181355"/>
    <n v="94975"/>
  </r>
  <r>
    <d v="2019-05-04T00:00:00"/>
    <x v="4"/>
    <x v="1"/>
    <x v="8"/>
    <n v="449"/>
    <n v="174060"/>
    <n v="296855"/>
  </r>
  <r>
    <d v="2019-05-18T00:00:00"/>
    <x v="4"/>
    <x v="1"/>
    <x v="4"/>
    <n v="731"/>
    <n v="214015"/>
    <n v="296715"/>
  </r>
  <r>
    <d v="2019-05-18T00:00:00"/>
    <x v="4"/>
    <x v="1"/>
    <x v="4"/>
    <n v="736"/>
    <n v="216315"/>
    <n v="235215"/>
  </r>
  <r>
    <d v="2019-05-26T00:00:00"/>
    <x v="4"/>
    <x v="1"/>
    <x v="15"/>
    <n v="412"/>
    <n v="174000"/>
    <n v="28590"/>
  </r>
  <r>
    <d v="2019-05-18T00:00:00"/>
    <x v="4"/>
    <x v="1"/>
    <x v="1"/>
    <n v="604"/>
    <n v="202150"/>
    <n v="244975"/>
  </r>
  <r>
    <d v="2019-05-18T00:00:00"/>
    <x v="4"/>
    <x v="1"/>
    <x v="5"/>
    <n v="492"/>
    <n v="195810"/>
    <n v="47130"/>
  </r>
  <r>
    <d v="2019-05-18T00:00:00"/>
    <x v="4"/>
    <x v="1"/>
    <x v="1"/>
    <n v="652"/>
    <n v="225995"/>
    <n v="307975"/>
  </r>
  <r>
    <d v="2019-05-11T00:00:00"/>
    <x v="4"/>
    <x v="1"/>
    <x v="4"/>
    <n v="800"/>
    <n v="248585"/>
    <n v="195215"/>
  </r>
  <r>
    <d v="2019-05-04T00:00:00"/>
    <x v="4"/>
    <x v="1"/>
    <x v="2"/>
    <n v="545"/>
    <n v="225690"/>
    <n v="43315"/>
  </r>
  <r>
    <d v="2019-05-26T00:00:00"/>
    <x v="4"/>
    <x v="1"/>
    <x v="10"/>
    <n v="556"/>
    <n v="229550"/>
    <n v="44435"/>
  </r>
  <r>
    <d v="2019-05-11T00:00:00"/>
    <x v="4"/>
    <x v="1"/>
    <x v="16"/>
    <n v="582"/>
    <n v="239393"/>
    <n v="72195"/>
  </r>
  <r>
    <d v="2019-05-11T00:00:00"/>
    <x v="4"/>
    <x v="1"/>
    <x v="8"/>
    <n v="580"/>
    <n v="239660"/>
    <n v="146855"/>
  </r>
  <r>
    <d v="2019-05-26T00:00:00"/>
    <x v="4"/>
    <x v="1"/>
    <x v="8"/>
    <n v="590"/>
    <n v="244770"/>
    <n v="50855"/>
  </r>
  <r>
    <d v="2019-05-04T00:00:00"/>
    <x v="4"/>
    <x v="1"/>
    <x v="3"/>
    <n v="562"/>
    <n v="241785"/>
    <n v="128660"/>
  </r>
  <r>
    <d v="2019-05-11T00:00:00"/>
    <x v="4"/>
    <x v="1"/>
    <x v="3"/>
    <n v="563"/>
    <n v="241905"/>
    <n v="65660"/>
  </r>
  <r>
    <d v="2019-05-26T00:00:00"/>
    <x v="4"/>
    <x v="1"/>
    <x v="4"/>
    <n v="905"/>
    <n v="301015"/>
    <n v="145215"/>
  </r>
  <r>
    <d v="2019-05-26T00:00:00"/>
    <x v="4"/>
    <x v="1"/>
    <x v="6"/>
    <n v="614"/>
    <n v="264080"/>
    <n v="40245"/>
  </r>
  <r>
    <d v="2019-05-04T00:00:00"/>
    <x v="4"/>
    <x v="1"/>
    <x v="5"/>
    <n v="636"/>
    <n v="267920"/>
    <n v="112130"/>
  </r>
  <r>
    <d v="2019-05-18T00:00:00"/>
    <x v="4"/>
    <x v="1"/>
    <x v="1"/>
    <n v="772"/>
    <n v="285650"/>
    <n v="134975"/>
  </r>
  <r>
    <d v="2019-05-18T00:00:00"/>
    <x v="4"/>
    <x v="1"/>
    <x v="10"/>
    <n v="638"/>
    <n v="270510"/>
    <n v="144435"/>
  </r>
  <r>
    <d v="2019-05-26T00:00:00"/>
    <x v="4"/>
    <x v="1"/>
    <x v="11"/>
    <n v="1188"/>
    <n v="349980"/>
    <n v="233595"/>
  </r>
  <r>
    <d v="2019-05-04T00:00:00"/>
    <x v="4"/>
    <x v="1"/>
    <x v="5"/>
    <n v="668"/>
    <n v="283610"/>
    <n v="217130"/>
  </r>
  <r>
    <d v="2019-05-11T00:00:00"/>
    <x v="4"/>
    <x v="1"/>
    <x v="1"/>
    <n v="816"/>
    <n v="307820"/>
    <n v="94975"/>
  </r>
  <r>
    <d v="2019-05-26T00:00:00"/>
    <x v="4"/>
    <x v="1"/>
    <x v="2"/>
    <n v="672"/>
    <n v="289500"/>
    <n v="43315"/>
  </r>
  <r>
    <d v="2019-05-26T00:00:00"/>
    <x v="4"/>
    <x v="1"/>
    <x v="16"/>
    <n v="715"/>
    <n v="305835"/>
    <n v="49405"/>
  </r>
  <r>
    <d v="2019-05-26T00:00:00"/>
    <x v="4"/>
    <x v="1"/>
    <x v="17"/>
    <n v="765"/>
    <n v="319380"/>
    <n v="58970"/>
  </r>
  <r>
    <d v="2019-05-18T00:00:00"/>
    <x v="4"/>
    <x v="1"/>
    <x v="14"/>
    <n v="720"/>
    <n v="315335"/>
    <n v="3241050"/>
  </r>
  <r>
    <d v="2019-05-18T00:00:00"/>
    <x v="4"/>
    <x v="1"/>
    <x v="17"/>
    <n v="785"/>
    <n v="328960"/>
    <n v="233970"/>
  </r>
  <r>
    <d v="2019-05-18T00:00:00"/>
    <x v="4"/>
    <x v="1"/>
    <x v="4"/>
    <n v="1040"/>
    <n v="368215"/>
    <n v="165215"/>
  </r>
  <r>
    <d v="2019-05-04T00:00:00"/>
    <x v="4"/>
    <x v="1"/>
    <x v="8"/>
    <n v="773"/>
    <n v="336380"/>
    <n v="1346855"/>
  </r>
  <r>
    <d v="2019-05-04T00:00:00"/>
    <x v="4"/>
    <x v="1"/>
    <x v="16"/>
    <n v="815"/>
    <n v="355785"/>
    <n v="119405"/>
  </r>
  <r>
    <d v="2019-05-11T00:00:00"/>
    <x v="4"/>
    <x v="1"/>
    <x v="1"/>
    <n v="958"/>
    <n v="378650"/>
    <n v="174825"/>
  </r>
  <r>
    <d v="2019-05-26T00:00:00"/>
    <x v="4"/>
    <x v="1"/>
    <x v="8"/>
    <n v="824"/>
    <n v="361780"/>
    <n v="50855"/>
  </r>
  <r>
    <d v="2019-05-11T00:00:00"/>
    <x v="4"/>
    <x v="1"/>
    <x v="2"/>
    <n v="817"/>
    <n v="362000"/>
    <n v="93315"/>
  </r>
  <r>
    <d v="2019-05-04T00:00:00"/>
    <x v="4"/>
    <x v="1"/>
    <x v="0"/>
    <n v="872"/>
    <n v="376690"/>
    <n v="81185"/>
  </r>
  <r>
    <d v="2019-05-18T00:00:00"/>
    <x v="4"/>
    <x v="1"/>
    <x v="8"/>
    <n v="879"/>
    <n v="388980"/>
    <n v="50855"/>
  </r>
  <r>
    <d v="2019-05-11T00:00:00"/>
    <x v="4"/>
    <x v="1"/>
    <x v="4"/>
    <n v="1166"/>
    <n v="431375"/>
    <n v="245215"/>
  </r>
  <r>
    <d v="2019-05-26T00:00:00"/>
    <x v="4"/>
    <x v="1"/>
    <x v="1"/>
    <n v="1032"/>
    <n v="415790"/>
    <n v="94975"/>
  </r>
  <r>
    <d v="2019-05-11T00:00:00"/>
    <x v="4"/>
    <x v="1"/>
    <x v="5"/>
    <n v="900"/>
    <n v="399850"/>
    <n v="87130"/>
  </r>
  <r>
    <d v="2019-05-18T00:00:00"/>
    <x v="4"/>
    <x v="1"/>
    <x v="0"/>
    <n v="901"/>
    <n v="415050"/>
    <n v="86185"/>
  </r>
  <r>
    <d v="2019-05-11T00:00:00"/>
    <x v="4"/>
    <x v="1"/>
    <x v="8"/>
    <n v="936"/>
    <n v="417530"/>
    <n v="286855"/>
  </r>
  <r>
    <d v="2019-05-11T00:00:00"/>
    <x v="4"/>
    <x v="1"/>
    <x v="1"/>
    <n v="1084"/>
    <n v="441750"/>
    <n v="244975"/>
  </r>
  <r>
    <d v="2019-05-18T00:00:00"/>
    <x v="4"/>
    <x v="1"/>
    <x v="14"/>
    <n v="940"/>
    <n v="425085"/>
    <n v="141050"/>
  </r>
  <r>
    <d v="2019-05-18T00:00:00"/>
    <x v="4"/>
    <x v="1"/>
    <x v="2"/>
    <n v="981"/>
    <n v="443800"/>
    <n v="108315"/>
  </r>
  <r>
    <d v="2019-05-04T00:00:00"/>
    <x v="4"/>
    <x v="1"/>
    <x v="10"/>
    <n v="990"/>
    <n v="446090"/>
    <n v="348755"/>
  </r>
  <r>
    <d v="2019-05-11T00:00:00"/>
    <x v="4"/>
    <x v="1"/>
    <x v="1"/>
    <n v="1177"/>
    <n v="488340"/>
    <n v="244975"/>
  </r>
  <r>
    <d v="2019-05-26T00:00:00"/>
    <x v="4"/>
    <x v="1"/>
    <x v="3"/>
    <n v="1037"/>
    <n v="478955"/>
    <n v="35660"/>
  </r>
  <r>
    <d v="2019-05-18T00:00:00"/>
    <x v="4"/>
    <x v="1"/>
    <x v="4"/>
    <n v="1368"/>
    <n v="532315"/>
    <n v="252015"/>
  </r>
  <r>
    <d v="2019-05-04T00:00:00"/>
    <x v="4"/>
    <x v="1"/>
    <x v="17"/>
    <n v="1170"/>
    <n v="521760"/>
    <n v="117850"/>
  </r>
  <r>
    <d v="2019-05-18T00:00:00"/>
    <x v="4"/>
    <x v="1"/>
    <x v="6"/>
    <n v="1118"/>
    <n v="516390"/>
    <n v="40245"/>
  </r>
  <r>
    <d v="2019-05-26T00:00:00"/>
    <x v="4"/>
    <x v="1"/>
    <x v="4"/>
    <n v="1418"/>
    <n v="557445"/>
    <n v="145215"/>
  </r>
  <r>
    <d v="2019-05-26T00:00:00"/>
    <x v="4"/>
    <x v="0"/>
    <x v="3"/>
    <n v="1117"/>
    <n v="519025"/>
    <n v="35660"/>
  </r>
  <r>
    <d v="2019-05-26T00:00:00"/>
    <x v="4"/>
    <x v="0"/>
    <x v="5"/>
    <n v="1161"/>
    <n v="530430"/>
    <n v="47130"/>
  </r>
  <r>
    <d v="2019-05-26T00:00:00"/>
    <x v="4"/>
    <x v="0"/>
    <x v="7"/>
    <n v="1291"/>
    <n v="550995"/>
    <n v="89675"/>
  </r>
  <r>
    <d v="2019-05-11T00:00:00"/>
    <x v="4"/>
    <x v="0"/>
    <x v="4"/>
    <n v="1504"/>
    <n v="600505"/>
    <n v="369615"/>
  </r>
  <r>
    <d v="2019-05-04T00:00:00"/>
    <x v="4"/>
    <x v="0"/>
    <x v="1"/>
    <n v="1365"/>
    <n v="582580"/>
    <n v="244975"/>
  </r>
  <r>
    <d v="2019-05-26T00:00:00"/>
    <x v="4"/>
    <x v="0"/>
    <x v="2"/>
    <n v="1235"/>
    <n v="570740"/>
    <n v="43315"/>
  </r>
  <r>
    <d v="2019-05-18T00:00:00"/>
    <x v="4"/>
    <x v="0"/>
    <x v="11"/>
    <n v="1830"/>
    <n v="670830"/>
    <n v="473595"/>
  </r>
  <r>
    <d v="2019-05-04T00:00:00"/>
    <x v="4"/>
    <x v="0"/>
    <x v="2"/>
    <n v="1303"/>
    <n v="604760"/>
    <n v="493315"/>
  </r>
  <r>
    <d v="2019-05-26T00:00:00"/>
    <x v="4"/>
    <x v="0"/>
    <x v="1"/>
    <n v="1457"/>
    <n v="628304"/>
    <n v="2094975"/>
  </r>
  <r>
    <d v="2019-05-26T00:00:00"/>
    <x v="4"/>
    <x v="0"/>
    <x v="4"/>
    <n v="1602"/>
    <n v="649455"/>
    <n v="2145215"/>
  </r>
  <r>
    <d v="2019-05-26T00:00:00"/>
    <x v="4"/>
    <x v="0"/>
    <x v="4"/>
    <n v="1618"/>
    <n v="657175"/>
    <n v="2145215"/>
  </r>
  <r>
    <d v="2019-05-26T00:00:00"/>
    <x v="4"/>
    <x v="0"/>
    <x v="16"/>
    <n v="1364"/>
    <n v="630335"/>
    <n v="2049405"/>
  </r>
  <r>
    <d v="2019-05-11T00:00:00"/>
    <x v="4"/>
    <x v="0"/>
    <x v="1"/>
    <n v="1510"/>
    <n v="654940"/>
    <n v="373975"/>
  </r>
  <r>
    <d v="2019-05-11T00:00:00"/>
    <x v="4"/>
    <x v="0"/>
    <x v="1"/>
    <n v="1594"/>
    <n v="696800"/>
    <n v="402975"/>
  </r>
  <r>
    <d v="2019-05-26T00:00:00"/>
    <x v="4"/>
    <x v="0"/>
    <x v="1"/>
    <n v="1606"/>
    <n v="702700"/>
    <n v="549975"/>
  </r>
  <r>
    <d v="2019-05-04T00:00:00"/>
    <x v="4"/>
    <x v="0"/>
    <x v="8"/>
    <n v="1502"/>
    <n v="700750"/>
    <n v="501855"/>
  </r>
  <r>
    <d v="2019-05-18T00:00:00"/>
    <x v="4"/>
    <x v="0"/>
    <x v="0"/>
    <n v="1541"/>
    <n v="711280"/>
    <n v="116185"/>
  </r>
  <r>
    <d v="2019-05-26T00:00:00"/>
    <x v="4"/>
    <x v="0"/>
    <x v="1"/>
    <n v="1756"/>
    <n v="777740"/>
    <n v="94975"/>
  </r>
  <r>
    <d v="2019-05-18T00:00:00"/>
    <x v="4"/>
    <x v="0"/>
    <x v="1"/>
    <n v="1810"/>
    <n v="805080"/>
    <n v="350375"/>
  </r>
  <r>
    <d v="2019-05-18T00:00:00"/>
    <x v="4"/>
    <x v="0"/>
    <x v="11"/>
    <n v="2332"/>
    <n v="921930"/>
    <n v="443595"/>
  </r>
  <r>
    <d v="2019-05-04T00:00:00"/>
    <x v="4"/>
    <x v="0"/>
    <x v="1"/>
    <n v="1981"/>
    <n v="890410"/>
    <n v="484975"/>
  </r>
  <r>
    <d v="2019-05-26T00:00:00"/>
    <x v="4"/>
    <x v="0"/>
    <x v="1"/>
    <n v="2035"/>
    <n v="917410"/>
    <n v="94975"/>
  </r>
  <r>
    <d v="2019-05-04T00:00:00"/>
    <x v="4"/>
    <x v="0"/>
    <x v="7"/>
    <n v="2094"/>
    <n v="952575"/>
    <n v="139675"/>
  </r>
  <r>
    <d v="2019-05-04T00:00:00"/>
    <x v="4"/>
    <x v="0"/>
    <x v="10"/>
    <n v="1973"/>
    <n v="937920"/>
    <n v="469335"/>
  </r>
  <r>
    <d v="2019-05-04T00:00:00"/>
    <x v="4"/>
    <x v="0"/>
    <x v="2"/>
    <n v="2165"/>
    <n v="1035800"/>
    <n v="73315"/>
  </r>
  <r>
    <d v="2019-05-04T00:00:00"/>
    <x v="4"/>
    <x v="0"/>
    <x v="0"/>
    <n v="2245"/>
    <n v="1063090"/>
    <n v="226185"/>
  </r>
  <r>
    <d v="2019-05-04T00:00:00"/>
    <x v="4"/>
    <x v="0"/>
    <x v="1"/>
    <n v="2366"/>
    <n v="1083030"/>
    <n v="143175"/>
  </r>
  <r>
    <d v="2019-05-11T00:00:00"/>
    <x v="4"/>
    <x v="0"/>
    <x v="4"/>
    <n v="2562"/>
    <n v="1129325"/>
    <n v="346615"/>
  </r>
  <r>
    <d v="2019-05-11T00:00:00"/>
    <x v="4"/>
    <x v="0"/>
    <x v="11"/>
    <n v="2925"/>
    <n v="1218180"/>
    <n v="603595"/>
  </r>
  <r>
    <d v="2019-05-18T00:00:00"/>
    <x v="4"/>
    <x v="0"/>
    <x v="4"/>
    <n v="2708"/>
    <n v="1202535"/>
    <n v="975805"/>
  </r>
  <r>
    <d v="2019-05-04T00:00:00"/>
    <x v="4"/>
    <x v="0"/>
    <x v="4"/>
    <n v="2749"/>
    <n v="1222955"/>
    <n v="440215"/>
  </r>
  <r>
    <d v="2019-05-26T00:00:00"/>
    <x v="4"/>
    <x v="0"/>
    <x v="4"/>
    <n v="2947"/>
    <n v="1321860"/>
    <n v="145215"/>
  </r>
  <r>
    <d v="2019-05-11T00:00:00"/>
    <x v="4"/>
    <x v="0"/>
    <x v="4"/>
    <n v="2965"/>
    <n v="1330715"/>
    <n v="742215"/>
  </r>
  <r>
    <d v="2019-05-26T00:00:00"/>
    <x v="4"/>
    <x v="0"/>
    <x v="0"/>
    <n v="2783"/>
    <n v="1332140"/>
    <n v="653185"/>
  </r>
  <r>
    <d v="2019-05-04T00:00:00"/>
    <x v="4"/>
    <x v="0"/>
    <x v="4"/>
    <n v="3495"/>
    <n v="1595945"/>
    <n v="227135"/>
  </r>
  <r>
    <d v="2019-05-11T00:00:00"/>
    <x v="4"/>
    <x v="0"/>
    <x v="7"/>
    <n v="3435"/>
    <n v="1623001"/>
    <n v="1189675"/>
  </r>
  <r>
    <d v="2019-05-11T00:00:00"/>
    <x v="4"/>
    <x v="0"/>
    <x v="11"/>
    <n v="4029"/>
    <n v="1790520"/>
    <n v="1333595"/>
  </r>
  <r>
    <d v="2019-05-26T00:00:00"/>
    <x v="4"/>
    <x v="0"/>
    <x v="11"/>
    <n v="4187"/>
    <n v="1849110"/>
    <n v="1333595"/>
  </r>
  <r>
    <d v="2019-05-04T00:00:00"/>
    <x v="4"/>
    <x v="0"/>
    <x v="1"/>
    <n v="4066"/>
    <n v="1981070"/>
    <n v="209975"/>
  </r>
  <r>
    <d v="2019-05-04T00:00:00"/>
    <x v="4"/>
    <x v="0"/>
    <x v="11"/>
    <n v="4862"/>
    <n v="2187010"/>
    <n v="560795"/>
  </r>
  <r>
    <d v="2019-05-04T00:00:00"/>
    <x v="4"/>
    <x v="0"/>
    <x v="4"/>
    <n v="4840"/>
    <n v="2268605"/>
    <n v="1452215"/>
  </r>
  <r>
    <d v="2019-05-26T00:00:00"/>
    <x v="4"/>
    <x v="0"/>
    <x v="11"/>
    <n v="5237"/>
    <n v="2374340"/>
    <n v="1540595"/>
  </r>
  <r>
    <d v="2019-05-26T00:00:00"/>
    <x v="4"/>
    <x v="0"/>
    <x v="4"/>
    <n v="6477"/>
    <n v="3087095"/>
    <n v="149715"/>
  </r>
  <r>
    <d v="2019-05-04T00:00:00"/>
    <x v="4"/>
    <x v="0"/>
    <x v="11"/>
    <n v="7845"/>
    <n v="3678380"/>
    <n v="383595"/>
  </r>
  <r>
    <d v="2019-05-04T00:00:00"/>
    <x v="4"/>
    <x v="0"/>
    <x v="4"/>
    <n v="7697"/>
    <n v="3697015"/>
    <n v="453215"/>
  </r>
  <r>
    <d v="2019-05-02T00:00:00"/>
    <x v="4"/>
    <x v="2"/>
    <x v="4"/>
    <n v="638"/>
    <n v="167505"/>
    <n v="145215"/>
  </r>
  <r>
    <d v="2019-05-02T00:00:00"/>
    <x v="4"/>
    <x v="2"/>
    <x v="2"/>
    <n v="141"/>
    <n v="24070"/>
    <n v="79315"/>
  </r>
  <r>
    <d v="2019-05-03T00:00:00"/>
    <x v="4"/>
    <x v="2"/>
    <x v="4"/>
    <n v="2061"/>
    <n v="878690"/>
    <n v="245215"/>
  </r>
  <r>
    <d v="2019-05-03T00:00:00"/>
    <x v="4"/>
    <x v="2"/>
    <x v="0"/>
    <n v="368"/>
    <n v="124540"/>
    <n v="56185"/>
  </r>
  <r>
    <d v="2019-05-03T00:00:00"/>
    <x v="4"/>
    <x v="2"/>
    <x v="9"/>
    <n v="257"/>
    <n v="100575"/>
    <n v="25975"/>
  </r>
  <r>
    <d v="2019-05-03T00:00:00"/>
    <x v="4"/>
    <x v="2"/>
    <x v="3"/>
    <n v="250"/>
    <n v="85765"/>
    <n v="35660"/>
  </r>
  <r>
    <d v="2019-05-04T00:00:00"/>
    <x v="4"/>
    <x v="2"/>
    <x v="7"/>
    <n v="369"/>
    <n v="89965"/>
    <n v="89675"/>
  </r>
  <r>
    <d v="2019-05-04T00:00:00"/>
    <x v="4"/>
    <x v="2"/>
    <x v="4"/>
    <n v="596"/>
    <n v="146389"/>
    <n v="165215"/>
  </r>
  <r>
    <d v="2019-05-04T00:00:00"/>
    <x v="4"/>
    <x v="2"/>
    <x v="2"/>
    <n v="740"/>
    <n v="323235"/>
    <n v="63315"/>
  </r>
  <r>
    <d v="2019-05-04T00:00:00"/>
    <x v="4"/>
    <x v="2"/>
    <x v="0"/>
    <n v="263"/>
    <n v="72275"/>
    <n v="56185"/>
  </r>
  <r>
    <d v="2019-05-05T00:00:00"/>
    <x v="4"/>
    <x v="2"/>
    <x v="8"/>
    <n v="508"/>
    <n v="203860"/>
    <n v="88855"/>
  </r>
  <r>
    <d v="2019-05-05T00:00:00"/>
    <x v="4"/>
    <x v="2"/>
    <x v="2"/>
    <n v="161"/>
    <n v="34060"/>
    <n v="48215"/>
  </r>
  <r>
    <d v="2019-05-06T00:00:00"/>
    <x v="4"/>
    <x v="2"/>
    <x v="10"/>
    <n v="229"/>
    <n v="65950"/>
    <n v="46435"/>
  </r>
  <r>
    <d v="2019-05-07T00:00:00"/>
    <x v="4"/>
    <x v="2"/>
    <x v="8"/>
    <n v="190"/>
    <n v="44550"/>
    <n v="47185"/>
  </r>
  <r>
    <d v="2019-05-09T00:00:00"/>
    <x v="4"/>
    <x v="2"/>
    <x v="2"/>
    <n v="188"/>
    <n v="47560"/>
    <n v="63315"/>
  </r>
  <r>
    <d v="2019-05-09T00:00:00"/>
    <x v="4"/>
    <x v="2"/>
    <x v="10"/>
    <n v="204"/>
    <n v="53260"/>
    <n v="56365"/>
  </r>
  <r>
    <d v="2019-05-10T00:00:00"/>
    <x v="4"/>
    <x v="2"/>
    <x v="0"/>
    <n v="265"/>
    <n v="73170"/>
    <n v="66185"/>
  </r>
  <r>
    <d v="2019-05-10T00:00:00"/>
    <x v="4"/>
    <x v="2"/>
    <x v="10"/>
    <n v="142"/>
    <n v="22315"/>
    <n v="44435"/>
  </r>
  <r>
    <d v="2019-05-10T00:00:00"/>
    <x v="4"/>
    <x v="2"/>
    <x v="4"/>
    <n v="497"/>
    <n v="97015"/>
    <n v="145215"/>
  </r>
  <r>
    <d v="2019-05-10T00:00:00"/>
    <x v="4"/>
    <x v="2"/>
    <x v="9"/>
    <n v="89"/>
    <n v="16340"/>
    <n v="29975"/>
  </r>
  <r>
    <d v="2019-05-11T00:00:00"/>
    <x v="4"/>
    <x v="2"/>
    <x v="12"/>
    <n v="210"/>
    <n v="89865"/>
    <n v="38525"/>
  </r>
  <r>
    <d v="2019-05-11T00:00:00"/>
    <x v="4"/>
    <x v="2"/>
    <x v="10"/>
    <n v="165"/>
    <n v="33751"/>
    <n v="64435"/>
  </r>
  <r>
    <d v="2019-05-11T00:00:00"/>
    <x v="4"/>
    <x v="2"/>
    <x v="2"/>
    <n v="174"/>
    <n v="40250"/>
    <n v="63315"/>
  </r>
  <r>
    <d v="2019-05-12T00:00:00"/>
    <x v="4"/>
    <x v="2"/>
    <x v="4"/>
    <n v="628"/>
    <n v="162235"/>
    <n v="145215"/>
  </r>
  <r>
    <d v="2019-05-12T00:00:00"/>
    <x v="4"/>
    <x v="2"/>
    <x v="7"/>
    <n v="541"/>
    <n v="175825"/>
    <n v="89675"/>
  </r>
  <r>
    <d v="2019-05-12T00:00:00"/>
    <x v="4"/>
    <x v="2"/>
    <x v="4"/>
    <n v="455"/>
    <n v="76015"/>
    <n v="147865"/>
  </r>
  <r>
    <d v="2019-05-12T00:00:00"/>
    <x v="4"/>
    <x v="2"/>
    <x v="2"/>
    <n v="235"/>
    <n v="70715"/>
    <n v="59745"/>
  </r>
  <r>
    <d v="2019-05-13T00:00:00"/>
    <x v="4"/>
    <x v="2"/>
    <x v="2"/>
    <n v="131"/>
    <n v="19070"/>
    <n v="43315"/>
  </r>
  <r>
    <d v="2019-05-13T00:00:00"/>
    <x v="4"/>
    <x v="2"/>
    <x v="1"/>
    <n v="290"/>
    <n v="44980"/>
    <n v="94975"/>
  </r>
  <r>
    <d v="2019-05-16T00:00:00"/>
    <x v="4"/>
    <x v="2"/>
    <x v="2"/>
    <n v="136"/>
    <n v="21605"/>
    <n v="43315"/>
  </r>
  <r>
    <d v="2019-05-16T00:00:00"/>
    <x v="4"/>
    <x v="2"/>
    <x v="4"/>
    <n v="453"/>
    <n v="75005"/>
    <n v="145215"/>
  </r>
  <r>
    <d v="2019-05-17T00:00:00"/>
    <x v="4"/>
    <x v="2"/>
    <x v="2"/>
    <n v="143"/>
    <n v="24795"/>
    <n v="98305"/>
  </r>
  <r>
    <d v="2019-05-17T00:00:00"/>
    <x v="4"/>
    <x v="2"/>
    <x v="0"/>
    <n v="235"/>
    <n v="57990"/>
    <n v="76185"/>
  </r>
  <r>
    <d v="2019-05-18T00:00:00"/>
    <x v="4"/>
    <x v="2"/>
    <x v="2"/>
    <n v="165"/>
    <n v="35960"/>
    <n v="99355"/>
  </r>
  <r>
    <d v="2019-05-18T00:00:00"/>
    <x v="4"/>
    <x v="2"/>
    <x v="0"/>
    <n v="233"/>
    <n v="57080"/>
    <n v="56185"/>
  </r>
  <r>
    <d v="2019-05-19T00:00:00"/>
    <x v="4"/>
    <x v="2"/>
    <x v="4"/>
    <n v="1478"/>
    <n v="587365"/>
    <n v="145215"/>
  </r>
  <r>
    <d v="2019-05-19T00:00:00"/>
    <x v="4"/>
    <x v="2"/>
    <x v="2"/>
    <n v="187"/>
    <n v="47010"/>
    <n v="93315"/>
  </r>
  <r>
    <d v="2019-05-20T00:00:00"/>
    <x v="4"/>
    <x v="2"/>
    <x v="8"/>
    <n v="163"/>
    <n v="31170"/>
    <n v="50855"/>
  </r>
  <r>
    <d v="2019-05-20T00:00:00"/>
    <x v="4"/>
    <x v="2"/>
    <x v="2"/>
    <n v="327"/>
    <n v="116760"/>
    <n v="63315"/>
  </r>
  <r>
    <d v="2019-05-20T00:00:00"/>
    <x v="4"/>
    <x v="2"/>
    <x v="3"/>
    <n v="224"/>
    <n v="72805"/>
    <n v="65360"/>
  </r>
  <r>
    <d v="2019-05-20T00:00:00"/>
    <x v="4"/>
    <x v="2"/>
    <x v="3"/>
    <n v="160"/>
    <n v="40505"/>
    <n v="63060"/>
  </r>
  <r>
    <d v="2019-05-20T00:00:00"/>
    <x v="4"/>
    <x v="2"/>
    <x v="12"/>
    <n v="119"/>
    <n v="44435"/>
    <n v="13465"/>
  </r>
  <r>
    <d v="2019-05-21T00:00:00"/>
    <x v="4"/>
    <x v="2"/>
    <x v="13"/>
    <n v="498"/>
    <n v="221185"/>
    <n v="25950"/>
  </r>
  <r>
    <d v="2019-05-21T00:00:00"/>
    <x v="4"/>
    <x v="2"/>
    <x v="2"/>
    <n v="245"/>
    <n v="76020"/>
    <n v="83415"/>
  </r>
  <r>
    <d v="2019-05-23T00:00:00"/>
    <x v="4"/>
    <x v="2"/>
    <x v="5"/>
    <n v="293"/>
    <n v="96070"/>
    <n v="75880"/>
  </r>
  <r>
    <d v="2019-05-24T00:00:00"/>
    <x v="4"/>
    <x v="2"/>
    <x v="2"/>
    <n v="158"/>
    <n v="32610"/>
    <n v="43315"/>
  </r>
  <r>
    <d v="2019-05-25T00:00:00"/>
    <x v="4"/>
    <x v="2"/>
    <x v="2"/>
    <n v="173"/>
    <n v="40025"/>
    <n v="71415"/>
  </r>
  <r>
    <d v="2019-05-25T00:00:00"/>
    <x v="4"/>
    <x v="2"/>
    <x v="7"/>
    <n v="330"/>
    <n v="70214"/>
    <n v="114675"/>
  </r>
  <r>
    <d v="2019-05-25T00:00:00"/>
    <x v="4"/>
    <x v="2"/>
    <x v="13"/>
    <n v="91"/>
    <n v="17335"/>
    <n v="26750"/>
  </r>
  <r>
    <d v="2019-05-26T00:00:00"/>
    <x v="4"/>
    <x v="2"/>
    <x v="4"/>
    <n v="591"/>
    <n v="143735"/>
    <n v="145215"/>
  </r>
  <r>
    <d v="2019-05-26T00:00:00"/>
    <x v="4"/>
    <x v="2"/>
    <x v="2"/>
    <n v="341"/>
    <n v="124010"/>
    <n v="43315"/>
  </r>
  <r>
    <d v="2019-05-27T00:00:00"/>
    <x v="4"/>
    <x v="2"/>
    <x v="2"/>
    <n v="205"/>
    <n v="56100"/>
    <n v="68315"/>
  </r>
  <r>
    <d v="2019-05-27T00:00:00"/>
    <x v="4"/>
    <x v="2"/>
    <x v="0"/>
    <n v="300"/>
    <n v="90650"/>
    <n v="56185"/>
  </r>
  <r>
    <d v="2019-05-28T00:00:00"/>
    <x v="4"/>
    <x v="2"/>
    <x v="2"/>
    <n v="185"/>
    <n v="45820"/>
    <n v="105815"/>
  </r>
  <r>
    <d v="2019-05-28T00:00:00"/>
    <x v="4"/>
    <x v="2"/>
    <x v="0"/>
    <n v="168"/>
    <n v="24835"/>
    <n v="56185"/>
  </r>
  <r>
    <d v="2019-05-28T00:00:00"/>
    <x v="4"/>
    <x v="2"/>
    <x v="3"/>
    <n v="159"/>
    <n v="40105"/>
    <n v="50660"/>
  </r>
  <r>
    <d v="2019-05-30T00:00:00"/>
    <x v="4"/>
    <x v="2"/>
    <x v="5"/>
    <n v="194"/>
    <n v="46920"/>
    <n v="47130"/>
  </r>
  <r>
    <d v="2019-05-30T00:00:00"/>
    <x v="4"/>
    <x v="2"/>
    <x v="2"/>
    <n v="169"/>
    <n v="38150"/>
    <n v="43315"/>
  </r>
  <r>
    <d v="2019-05-04T00:00:00"/>
    <x v="4"/>
    <x v="3"/>
    <x v="11"/>
    <n v="1165"/>
    <n v="338535"/>
    <n v="233595"/>
  </r>
  <r>
    <d v="2019-05-04T00:00:00"/>
    <x v="4"/>
    <x v="3"/>
    <x v="8"/>
    <n v="770"/>
    <n v="334675"/>
    <n v="50855"/>
  </r>
  <r>
    <d v="2019-05-04T00:00:00"/>
    <x v="4"/>
    <x v="3"/>
    <x v="8"/>
    <n v="385"/>
    <n v="142415"/>
    <n v="105855"/>
  </r>
  <r>
    <d v="2019-05-04T00:00:00"/>
    <x v="4"/>
    <x v="3"/>
    <x v="1"/>
    <n v="1723"/>
    <n v="761225"/>
    <n v="104975"/>
  </r>
  <r>
    <d v="2019-05-04T00:00:00"/>
    <x v="4"/>
    <x v="3"/>
    <x v="17"/>
    <n v="244"/>
    <n v="58895"/>
    <n v="58970"/>
  </r>
  <r>
    <d v="2019-05-04T00:00:00"/>
    <x v="4"/>
    <x v="3"/>
    <x v="4"/>
    <n v="599"/>
    <n v="147665"/>
    <n v="145215"/>
  </r>
  <r>
    <d v="2019-05-04T00:00:00"/>
    <x v="4"/>
    <x v="3"/>
    <x v="4"/>
    <n v="1460"/>
    <n v="578535"/>
    <n v="145215"/>
  </r>
  <r>
    <d v="2019-05-04T00:00:00"/>
    <x v="4"/>
    <x v="3"/>
    <x v="4"/>
    <n v="532"/>
    <n v="114235"/>
    <n v="147215"/>
  </r>
  <r>
    <d v="2019-05-04T00:00:00"/>
    <x v="4"/>
    <x v="3"/>
    <x v="11"/>
    <n v="2704"/>
    <n v="1107905"/>
    <n v="233595"/>
  </r>
  <r>
    <d v="2019-05-04T00:00:00"/>
    <x v="4"/>
    <x v="3"/>
    <x v="9"/>
    <n v="214"/>
    <n v="78800"/>
    <n v="25975"/>
  </r>
  <r>
    <d v="2019-05-04T00:00:00"/>
    <x v="4"/>
    <x v="3"/>
    <x v="5"/>
    <n v="251"/>
    <n v="75195"/>
    <n v="67130"/>
  </r>
  <r>
    <d v="2019-05-04T00:00:00"/>
    <x v="4"/>
    <x v="3"/>
    <x v="3"/>
    <n v="298"/>
    <n v="109735"/>
    <n v="35660"/>
  </r>
  <r>
    <d v="2019-05-04T00:00:00"/>
    <x v="4"/>
    <x v="3"/>
    <x v="2"/>
    <n v="884"/>
    <n v="395230"/>
    <n v="43315"/>
  </r>
  <r>
    <d v="2019-05-04T00:00:00"/>
    <x v="4"/>
    <x v="3"/>
    <x v="13"/>
    <n v="614"/>
    <n v="278815"/>
    <n v="25950"/>
  </r>
  <r>
    <d v="2019-05-04T00:00:00"/>
    <x v="4"/>
    <x v="3"/>
    <x v="15"/>
    <n v="146"/>
    <n v="40835"/>
    <n v="43590"/>
  </r>
  <r>
    <d v="2019-05-04T00:00:00"/>
    <x v="4"/>
    <x v="3"/>
    <x v="11"/>
    <n v="3960"/>
    <n v="1735825"/>
    <n v="233595"/>
  </r>
  <r>
    <d v="2019-05-04T00:00:00"/>
    <x v="4"/>
    <x v="3"/>
    <x v="16"/>
    <n v="162"/>
    <n v="29035"/>
    <n v="54405"/>
  </r>
  <r>
    <d v="2019-05-04T00:00:00"/>
    <x v="4"/>
    <x v="3"/>
    <x v="10"/>
    <n v="384"/>
    <n v="143310"/>
    <n v="60435"/>
  </r>
  <r>
    <d v="2019-05-04T00:00:00"/>
    <x v="4"/>
    <x v="3"/>
    <x v="4"/>
    <n v="961"/>
    <n v="329000"/>
    <n v="171215"/>
  </r>
  <r>
    <d v="2019-05-04T00:00:00"/>
    <x v="4"/>
    <x v="3"/>
    <x v="8"/>
    <n v="628"/>
    <n v="263640"/>
    <n v="50855"/>
  </r>
  <r>
    <d v="2019-05-04T00:00:00"/>
    <x v="4"/>
    <x v="3"/>
    <x v="2"/>
    <n v="157"/>
    <n v="32015"/>
    <n v="43315"/>
  </r>
  <r>
    <d v="2019-05-04T00:00:00"/>
    <x v="4"/>
    <x v="3"/>
    <x v="4"/>
    <n v="776"/>
    <n v="236285"/>
    <n v="145215"/>
  </r>
  <r>
    <d v="2019-05-04T00:00:00"/>
    <x v="4"/>
    <x v="3"/>
    <x v="1"/>
    <n v="492"/>
    <n v="145710"/>
    <n v="94975"/>
  </r>
  <r>
    <d v="2019-05-04T00:00:00"/>
    <x v="4"/>
    <x v="3"/>
    <x v="8"/>
    <n v="326"/>
    <n v="112640"/>
    <n v="56855"/>
  </r>
  <r>
    <d v="2019-05-04T00:00:00"/>
    <x v="4"/>
    <x v="3"/>
    <x v="4"/>
    <n v="550"/>
    <n v="123250"/>
    <n v="145215"/>
  </r>
  <r>
    <d v="2019-05-04T00:00:00"/>
    <x v="4"/>
    <x v="3"/>
    <x v="7"/>
    <n v="313"/>
    <n v="61955"/>
    <n v="89675"/>
  </r>
  <r>
    <d v="2019-05-11T00:00:00"/>
    <x v="4"/>
    <x v="3"/>
    <x v="11"/>
    <n v="867"/>
    <n v="189190"/>
    <n v="283595"/>
  </r>
  <r>
    <d v="2019-05-11T00:00:00"/>
    <x v="4"/>
    <x v="3"/>
    <x v="11"/>
    <n v="1312"/>
    <n v="412005"/>
    <n v="403595"/>
  </r>
  <r>
    <d v="2019-05-11T00:00:00"/>
    <x v="4"/>
    <x v="3"/>
    <x v="0"/>
    <n v="547"/>
    <n v="214025"/>
    <n v="56185"/>
  </r>
  <r>
    <d v="2019-05-11T00:00:00"/>
    <x v="4"/>
    <x v="3"/>
    <x v="4"/>
    <n v="730"/>
    <n v="213445"/>
    <n v="195215"/>
  </r>
  <r>
    <d v="2019-05-11T00:00:00"/>
    <x v="4"/>
    <x v="3"/>
    <x v="8"/>
    <n v="336"/>
    <n v="117570"/>
    <n v="136855"/>
  </r>
  <r>
    <d v="2019-05-11T00:00:00"/>
    <x v="4"/>
    <x v="3"/>
    <x v="4"/>
    <n v="504"/>
    <n v="100555"/>
    <n v="225215"/>
  </r>
  <r>
    <d v="2019-05-11T00:00:00"/>
    <x v="4"/>
    <x v="3"/>
    <x v="3"/>
    <n v="298"/>
    <n v="109715"/>
    <n v="55660"/>
  </r>
  <r>
    <d v="2019-05-11T00:00:00"/>
    <x v="4"/>
    <x v="3"/>
    <x v="4"/>
    <n v="667"/>
    <n v="181985"/>
    <n v="145215"/>
  </r>
  <r>
    <d v="2019-05-11T00:00:00"/>
    <x v="4"/>
    <x v="3"/>
    <x v="2"/>
    <n v="278"/>
    <n v="92545"/>
    <n v="44315"/>
  </r>
  <r>
    <d v="2019-05-11T00:00:00"/>
    <x v="4"/>
    <x v="3"/>
    <x v="9"/>
    <n v="312"/>
    <n v="128210"/>
    <n v="25975"/>
  </r>
  <r>
    <d v="2019-05-11T00:00:00"/>
    <x v="4"/>
    <x v="3"/>
    <x v="16"/>
    <n v="207"/>
    <n v="51635"/>
    <n v="49405"/>
  </r>
  <r>
    <d v="2019-05-11T00:00:00"/>
    <x v="4"/>
    <x v="3"/>
    <x v="3"/>
    <n v="282"/>
    <n v="101725"/>
    <n v="85660"/>
  </r>
  <r>
    <d v="2019-05-11T00:00:00"/>
    <x v="4"/>
    <x v="3"/>
    <x v="11"/>
    <n v="3179"/>
    <n v="1345145"/>
    <n v="633595"/>
  </r>
  <r>
    <d v="2019-05-11T00:00:00"/>
    <x v="4"/>
    <x v="3"/>
    <x v="8"/>
    <n v="164"/>
    <n v="31615"/>
    <n v="396855"/>
  </r>
  <r>
    <d v="2019-05-11T00:00:00"/>
    <x v="4"/>
    <x v="3"/>
    <x v="15"/>
    <n v="651"/>
    <n v="304711"/>
    <n v="328590"/>
  </r>
  <r>
    <d v="2019-05-11T00:00:00"/>
    <x v="4"/>
    <x v="3"/>
    <x v="1"/>
    <n v="625"/>
    <n v="212430"/>
    <n v="95915"/>
  </r>
  <r>
    <d v="2019-05-11T00:00:00"/>
    <x v="4"/>
    <x v="3"/>
    <x v="1"/>
    <n v="709"/>
    <n v="254570"/>
    <n v="94975"/>
  </r>
  <r>
    <d v="2019-05-11T00:00:00"/>
    <x v="4"/>
    <x v="3"/>
    <x v="14"/>
    <n v="405"/>
    <n v="157675"/>
    <n v="91050"/>
  </r>
  <r>
    <d v="2019-05-11T00:00:00"/>
    <x v="4"/>
    <x v="3"/>
    <x v="17"/>
    <n v="555"/>
    <n v="213965"/>
    <n v="118970"/>
  </r>
  <r>
    <d v="2019-05-11T00:00:00"/>
    <x v="4"/>
    <x v="3"/>
    <x v="14"/>
    <n v="160"/>
    <n v="35160"/>
    <n v="941050"/>
  </r>
  <r>
    <d v="2019-05-11T00:00:00"/>
    <x v="4"/>
    <x v="3"/>
    <x v="4"/>
    <n v="1323"/>
    <n v="509755"/>
    <n v="145215"/>
  </r>
  <r>
    <d v="2019-05-18T00:00:00"/>
    <x v="4"/>
    <x v="3"/>
    <x v="17"/>
    <n v="772"/>
    <n v="322850"/>
    <n v="78970"/>
  </r>
  <r>
    <d v="2019-05-18T00:00:00"/>
    <x v="4"/>
    <x v="3"/>
    <x v="4"/>
    <n v="1286"/>
    <n v="491160"/>
    <n v="245215"/>
  </r>
  <r>
    <d v="2019-05-18T00:00:00"/>
    <x v="4"/>
    <x v="3"/>
    <x v="11"/>
    <n v="860"/>
    <n v="185895"/>
    <n v="283595"/>
  </r>
  <r>
    <d v="2019-05-18T00:00:00"/>
    <x v="4"/>
    <x v="3"/>
    <x v="8"/>
    <n v="499"/>
    <n v="199450"/>
    <n v="155155"/>
  </r>
  <r>
    <d v="2019-05-18T00:00:00"/>
    <x v="4"/>
    <x v="3"/>
    <x v="4"/>
    <n v="813"/>
    <n v="254705"/>
    <n v="195215"/>
  </r>
  <r>
    <d v="2019-05-18T00:00:00"/>
    <x v="4"/>
    <x v="3"/>
    <x v="4"/>
    <n v="449"/>
    <n v="72795"/>
    <n v="160215"/>
  </r>
  <r>
    <d v="2019-05-18T00:00:00"/>
    <x v="4"/>
    <x v="3"/>
    <x v="4"/>
    <n v="1131"/>
    <n v="414060"/>
    <n v="145215"/>
  </r>
  <r>
    <d v="2019-05-18T00:00:00"/>
    <x v="4"/>
    <x v="3"/>
    <x v="9"/>
    <n v="174"/>
    <n v="59155"/>
    <n v="25975"/>
  </r>
  <r>
    <d v="2019-05-18T00:00:00"/>
    <x v="4"/>
    <x v="3"/>
    <x v="2"/>
    <n v="330"/>
    <n v="118205"/>
    <n v="93315"/>
  </r>
  <r>
    <d v="2019-05-18T00:00:00"/>
    <x v="4"/>
    <x v="3"/>
    <x v="1"/>
    <n v="357"/>
    <n v="78550"/>
    <n v="124975"/>
  </r>
  <r>
    <d v="2019-05-18T00:00:00"/>
    <x v="4"/>
    <x v="3"/>
    <x v="1"/>
    <n v="800"/>
    <n v="299810"/>
    <n v="244975"/>
  </r>
  <r>
    <d v="2019-05-18T00:00:00"/>
    <x v="4"/>
    <x v="3"/>
    <x v="11"/>
    <n v="2404"/>
    <n v="958050"/>
    <n v="236595"/>
  </r>
  <r>
    <d v="2019-05-18T00:00:00"/>
    <x v="4"/>
    <x v="3"/>
    <x v="11"/>
    <n v="762"/>
    <n v="136900"/>
    <n v="288595"/>
  </r>
  <r>
    <d v="2019-05-18T00:00:00"/>
    <x v="4"/>
    <x v="3"/>
    <x v="2"/>
    <n v="2145"/>
    <n v="1099490"/>
    <n v="43315"/>
  </r>
  <r>
    <d v="2019-05-18T00:00:00"/>
    <x v="4"/>
    <x v="3"/>
    <x v="1"/>
    <n v="409"/>
    <n v="104525"/>
    <n v="94975"/>
  </r>
  <r>
    <d v="2019-05-18T00:00:00"/>
    <x v="4"/>
    <x v="3"/>
    <x v="1"/>
    <n v="619"/>
    <n v="209340"/>
    <n v="94975"/>
  </r>
  <r>
    <d v="2019-05-18T00:00:00"/>
    <x v="4"/>
    <x v="3"/>
    <x v="8"/>
    <n v="2461"/>
    <n v="1180450"/>
    <n v="50855"/>
  </r>
  <r>
    <d v="2019-05-26T00:00:00"/>
    <x v="4"/>
    <x v="3"/>
    <x v="0"/>
    <n v="600"/>
    <n v="245150"/>
    <n v="56185"/>
  </r>
  <r>
    <d v="2019-05-26T00:00:00"/>
    <x v="4"/>
    <x v="3"/>
    <x v="11"/>
    <n v="923"/>
    <n v="217145"/>
    <n v="233507"/>
  </r>
  <r>
    <d v="2019-05-26T00:00:00"/>
    <x v="4"/>
    <x v="3"/>
    <x v="4"/>
    <n v="844"/>
    <n v="270315"/>
    <n v="145215"/>
  </r>
  <r>
    <d v="2019-05-26T00:00:00"/>
    <x v="4"/>
    <x v="3"/>
    <x v="17"/>
    <n v="336"/>
    <n v="104501"/>
    <n v="58970"/>
  </r>
  <r>
    <d v="2019-05-26T00:00:00"/>
    <x v="4"/>
    <x v="3"/>
    <x v="4"/>
    <n v="611"/>
    <n v="153665"/>
    <n v="145215"/>
  </r>
  <r>
    <d v="2019-05-26T00:00:00"/>
    <x v="4"/>
    <x v="3"/>
    <x v="4"/>
    <n v="771"/>
    <n v="233995"/>
    <n v="195215"/>
  </r>
  <r>
    <d v="2019-05-26T00:00:00"/>
    <x v="4"/>
    <x v="3"/>
    <x v="7"/>
    <n v="345"/>
    <n v="78180"/>
    <n v="134875"/>
  </r>
  <r>
    <d v="2019-05-26T00:00:00"/>
    <x v="4"/>
    <x v="3"/>
    <x v="8"/>
    <n v="217"/>
    <n v="58360"/>
    <n v="50855"/>
  </r>
  <r>
    <d v="2019-05-26T00:00:00"/>
    <x v="4"/>
    <x v="3"/>
    <x v="4"/>
    <n v="2762"/>
    <n v="1229395"/>
    <n v="320215"/>
  </r>
  <r>
    <d v="2019-05-26T00:00:00"/>
    <x v="4"/>
    <x v="3"/>
    <x v="9"/>
    <n v="417"/>
    <n v="180575"/>
    <n v="25975"/>
  </r>
  <r>
    <d v="2019-05-26T00:00:00"/>
    <x v="4"/>
    <x v="3"/>
    <x v="2"/>
    <n v="449"/>
    <n v="177775"/>
    <n v="147308"/>
  </r>
  <r>
    <d v="2019-05-26T00:00:00"/>
    <x v="4"/>
    <x v="3"/>
    <x v="5"/>
    <n v="784"/>
    <n v="357670"/>
    <n v="77130"/>
  </r>
  <r>
    <d v="2019-05-26T00:00:00"/>
    <x v="4"/>
    <x v="3"/>
    <x v="3"/>
    <n v="720"/>
    <n v="320385"/>
    <n v="35660"/>
  </r>
  <r>
    <d v="2019-05-26T00:00:00"/>
    <x v="4"/>
    <x v="3"/>
    <x v="11"/>
    <n v="1623"/>
    <n v="567375"/>
    <n v="233595"/>
  </r>
  <r>
    <d v="2019-05-26T00:00:00"/>
    <x v="4"/>
    <x v="3"/>
    <x v="1"/>
    <n v="472"/>
    <n v="135895"/>
    <n v="94975"/>
  </r>
  <r>
    <d v="2019-05-26T00:00:00"/>
    <x v="4"/>
    <x v="3"/>
    <x v="11"/>
    <n v="1592"/>
    <n v="551790"/>
    <n v="233595"/>
  </r>
  <r>
    <d v="2019-05-26T00:00:00"/>
    <x v="4"/>
    <x v="3"/>
    <x v="16"/>
    <n v="210"/>
    <n v="53285"/>
    <n v="49405"/>
  </r>
  <r>
    <d v="2019-05-26T00:00:00"/>
    <x v="4"/>
    <x v="3"/>
    <x v="10"/>
    <n v="206"/>
    <n v="54295"/>
    <n v="44435"/>
  </r>
  <r>
    <d v="2019-05-26T00:00:00"/>
    <x v="4"/>
    <x v="3"/>
    <x v="8"/>
    <n v="201"/>
    <n v="50050"/>
    <n v="50855"/>
  </r>
  <r>
    <d v="2019-05-26T00:00:00"/>
    <x v="4"/>
    <x v="3"/>
    <x v="4"/>
    <n v="734"/>
    <n v="215345"/>
    <n v="145215"/>
  </r>
  <r>
    <d v="2019-05-26T00:00:00"/>
    <x v="4"/>
    <x v="3"/>
    <x v="4"/>
    <n v="611"/>
    <n v="153750"/>
    <n v="145215"/>
  </r>
  <r>
    <d v="2019-05-26T00:00:00"/>
    <x v="4"/>
    <x v="3"/>
    <x v="1"/>
    <n v="318"/>
    <n v="58710"/>
    <n v="94975"/>
  </r>
  <r>
    <d v="2019-05-26T00:00:00"/>
    <x v="4"/>
    <x v="3"/>
    <x v="13"/>
    <n v="161"/>
    <n v="52470"/>
    <n v="25950"/>
  </r>
  <r>
    <d v="2019-05-26T00:00:00"/>
    <x v="4"/>
    <x v="3"/>
    <x v="3"/>
    <n v="461"/>
    <n v="191290"/>
    <n v="6566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8146F5-F0D2-4977-8930-48D8D2514781}"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F3:AI22" firstHeaderRow="0" firstDataRow="1" firstDataCol="1"/>
  <pivotFields count="8">
    <pivotField numFmtId="14" showAll="0"/>
    <pivotField showAll="0">
      <items count="6">
        <item x="2"/>
        <item x="1"/>
        <item x="3"/>
        <item x="0"/>
        <item x="4"/>
        <item t="default"/>
      </items>
    </pivotField>
    <pivotField showAll="0"/>
    <pivotField axis="axisRow" showAll="0">
      <items count="19">
        <item x="0"/>
        <item x="17"/>
        <item x="9"/>
        <item x="5"/>
        <item x="16"/>
        <item x="3"/>
        <item x="12"/>
        <item x="10"/>
        <item x="8"/>
        <item x="4"/>
        <item x="13"/>
        <item x="1"/>
        <item x="14"/>
        <item x="6"/>
        <item x="11"/>
        <item x="7"/>
        <item x="2"/>
        <item x="15"/>
        <item t="default"/>
      </items>
    </pivotField>
    <pivotField dataField="1" showAll="0"/>
    <pivotField dataField="1" showAll="0"/>
    <pivotField dataField="1" showAll="0"/>
    <pivotField dragToRow="0" dragToCol="0" dragToPage="0" showAll="0" defaultSubtotal="0"/>
  </pivotFields>
  <rowFields count="1">
    <field x="3"/>
  </rowFields>
  <rowItems count="19">
    <i>
      <x/>
    </i>
    <i>
      <x v="1"/>
    </i>
    <i>
      <x v="2"/>
    </i>
    <i>
      <x v="3"/>
    </i>
    <i>
      <x v="4"/>
    </i>
    <i>
      <x v="5"/>
    </i>
    <i>
      <x v="6"/>
    </i>
    <i>
      <x v="7"/>
    </i>
    <i>
      <x v="8"/>
    </i>
    <i>
      <x v="9"/>
    </i>
    <i>
      <x v="10"/>
    </i>
    <i>
      <x v="11"/>
    </i>
    <i>
      <x v="12"/>
    </i>
    <i>
      <x v="13"/>
    </i>
    <i>
      <x v="14"/>
    </i>
    <i>
      <x v="15"/>
    </i>
    <i>
      <x v="16"/>
    </i>
    <i>
      <x v="17"/>
    </i>
    <i t="grand">
      <x/>
    </i>
  </rowItems>
  <colFields count="1">
    <field x="-2"/>
  </colFields>
  <colItems count="3">
    <i>
      <x/>
    </i>
    <i i="1">
      <x v="1"/>
    </i>
    <i i="2">
      <x v="2"/>
    </i>
  </colItems>
  <dataFields count="3">
    <dataField name="  Qty" fld="4" baseField="0" baseItem="0"/>
    <dataField name="  T Sale" fld="5" baseField="0" baseItem="0" numFmtId="5"/>
    <dataField name="  T Collection" fld="6" baseField="0" baseItem="0" numFmtId="5"/>
  </dataFields>
  <formats count="8">
    <format dxfId="23">
      <pivotArea type="all" dataOnly="0" outline="0" fieldPosition="0"/>
    </format>
    <format dxfId="22">
      <pivotArea outline="0" collapsedLevelsAreSubtotals="1" fieldPosition="0"/>
    </format>
    <format dxfId="21">
      <pivotArea field="3" type="button" dataOnly="0" labelOnly="1" outline="0" axis="axisRow" fieldPosition="0"/>
    </format>
    <format dxfId="20">
      <pivotArea dataOnly="0" labelOnly="1" fieldPosition="0">
        <references count="1">
          <reference field="3" count="0"/>
        </references>
      </pivotArea>
    </format>
    <format dxfId="19">
      <pivotArea dataOnly="0" labelOnly="1" grandRow="1" outline="0" fieldPosition="0"/>
    </format>
    <format dxfId="18">
      <pivotArea dataOnly="0" labelOnly="1" outline="0" fieldPosition="0">
        <references count="1">
          <reference field="4294967294" count="3">
            <x v="0"/>
            <x v="1"/>
            <x v="2"/>
          </reference>
        </references>
      </pivotArea>
    </format>
    <format dxfId="17">
      <pivotArea outline="0" collapsedLevelsAreSubtotals="1" fieldPosition="0"/>
    </format>
    <format dxfId="16">
      <pivotArea outline="0" collapsedLevelsAreSubtotals="1" fieldPosition="0">
        <references count="1">
          <reference field="4294967294" count="2" selected="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FB8566-1266-418E-8B6C-77E9847D0F23}" name="SpeedMeter"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4:C5" firstHeaderRow="0" firstDataRow="1" firstDataCol="0"/>
  <pivotFields count="8">
    <pivotField numFmtId="14" showAll="0"/>
    <pivotField showAll="0">
      <items count="6">
        <item x="2"/>
        <item x="1"/>
        <item x="3"/>
        <item x="0"/>
        <item x="4"/>
        <item t="default"/>
      </items>
    </pivotField>
    <pivotField showAll="0">
      <items count="5">
        <item x="0"/>
        <item x="1"/>
        <item x="2"/>
        <item x="3"/>
        <item t="default"/>
      </items>
    </pivotField>
    <pivotField showAll="0"/>
    <pivotField showAll="0"/>
    <pivotField dataField="1" showAll="0"/>
    <pivotField dataField="1" showAll="0"/>
    <pivotField dataField="1" dragToRow="0" dragToCol="0" dragToPage="0" showAll="0" defaultSubtotal="0"/>
  </pivotFields>
  <rowItems count="1">
    <i/>
  </rowItems>
  <colFields count="1">
    <field x="-2"/>
  </colFields>
  <colItems count="3">
    <i>
      <x/>
    </i>
    <i i="1">
      <x v="1"/>
    </i>
    <i i="2">
      <x v="2"/>
    </i>
  </colItems>
  <dataFields count="3">
    <dataField name="  T Sale" fld="5" baseField="0" baseItem="0"/>
    <dataField name="  T Collection" fld="6" baseField="0" baseItem="0"/>
    <dataField name="  Collection %" fld="7" baseField="0" baseItem="0"/>
  </dataFields>
  <formats count="5">
    <format dxfId="4">
      <pivotArea type="all" dataOnly="0" outline="0" fieldPosition="0"/>
    </format>
    <format dxfId="3">
      <pivotArea outline="0" collapsedLevelsAreSubtotals="1" fieldPosition="0"/>
    </format>
    <format dxfId="2">
      <pivotArea field="2" type="button" dataOnly="0" labelOnly="1" outline="0"/>
    </format>
    <format dxfId="1">
      <pivotArea dataOnly="0" labelOnly="1" grandRow="1" outline="0" fieldPosition="0"/>
    </format>
    <format dxfId="0">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C5449C-9544-4DC9-A704-A82A09997DD8}" name="TubeMeter"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3:D18" firstHeaderRow="0" firstDataRow="1" firstDataCol="1"/>
  <pivotFields count="8">
    <pivotField numFmtId="14" showAll="0"/>
    <pivotField showAll="0">
      <items count="6">
        <item x="2"/>
        <item x="1"/>
        <item x="3"/>
        <item x="0"/>
        <item x="4"/>
        <item t="default"/>
      </items>
    </pivotField>
    <pivotField axis="axisRow" showAll="0">
      <items count="5">
        <item x="0"/>
        <item x="1"/>
        <item x="2"/>
        <item x="3"/>
        <item t="default"/>
      </items>
    </pivotField>
    <pivotField showAll="0"/>
    <pivotField showAll="0"/>
    <pivotField dataField="1" showAll="0"/>
    <pivotField dataField="1" showAll="0"/>
    <pivotField dataField="1" dragToRow="0" dragToCol="0" dragToPage="0" showAll="0" defaultSubtotal="0"/>
  </pivotFields>
  <rowFields count="1">
    <field x="2"/>
  </rowFields>
  <rowItems count="5">
    <i>
      <x/>
    </i>
    <i>
      <x v="1"/>
    </i>
    <i>
      <x v="2"/>
    </i>
    <i>
      <x v="3"/>
    </i>
    <i t="grand">
      <x/>
    </i>
  </rowItems>
  <colFields count="1">
    <field x="-2"/>
  </colFields>
  <colItems count="3">
    <i>
      <x/>
    </i>
    <i i="1">
      <x v="1"/>
    </i>
    <i i="2">
      <x v="2"/>
    </i>
  </colItems>
  <dataFields count="3">
    <dataField name="  T Sale" fld="5" baseField="0" baseItem="0"/>
    <dataField name="  T Collection" fld="6" baseField="0" baseItem="0"/>
    <dataField name="  Collection %" fld="7" baseField="0" baseItem="0"/>
  </dataFields>
  <formats count="6">
    <format dxfId="10">
      <pivotArea type="all" dataOnly="0" outline="0" fieldPosition="0"/>
    </format>
    <format dxfId="9">
      <pivotArea outline="0" collapsedLevelsAreSubtotals="1" fieldPosition="0"/>
    </format>
    <format dxfId="8">
      <pivotArea field="2" type="button" dataOnly="0" labelOnly="1" outline="0" axis="axisRow" fieldPosition="0"/>
    </format>
    <format dxfId="7">
      <pivotArea dataOnly="0" labelOnly="1" fieldPosition="0">
        <references count="1">
          <reference field="2" count="0"/>
        </references>
      </pivotArea>
    </format>
    <format dxfId="6">
      <pivotArea dataOnly="0" labelOnly="1" grandRow="1" outline="0" fieldPosition="0"/>
    </format>
    <format dxfId="5">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4460A64-8ECE-4416-AE78-692FD4D1B64B}" name="RocketMeter"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3:B28" firstHeaderRow="1" firstDataRow="1" firstDataCol="1"/>
  <pivotFields count="8">
    <pivotField numFmtId="14" showAll="0"/>
    <pivotField showAll="0">
      <items count="6">
        <item x="2"/>
        <item x="1"/>
        <item x="3"/>
        <item x="0"/>
        <item x="4"/>
        <item t="default"/>
      </items>
    </pivotField>
    <pivotField axis="axisRow" showAll="0">
      <items count="5">
        <item x="0"/>
        <item x="1"/>
        <item x="2"/>
        <item x="3"/>
        <item t="default"/>
      </items>
    </pivotField>
    <pivotField showAll="0"/>
    <pivotField dataField="1" showAll="0"/>
    <pivotField showAll="0"/>
    <pivotField showAll="0"/>
    <pivotField dragToRow="0" dragToCol="0" dragToPage="0" showAll="0" defaultSubtotal="0"/>
  </pivotFields>
  <rowFields count="1">
    <field x="2"/>
  </rowFields>
  <rowItems count="5">
    <i>
      <x/>
    </i>
    <i>
      <x v="1"/>
    </i>
    <i>
      <x v="2"/>
    </i>
    <i>
      <x v="3"/>
    </i>
    <i t="grand">
      <x/>
    </i>
  </rowItems>
  <colItems count="1">
    <i/>
  </colItems>
  <dataFields count="1">
    <dataField name="Sum of Qty" fld="4" baseField="0" baseItem="0"/>
  </dataFields>
  <formats count="5">
    <format dxfId="15">
      <pivotArea type="all" dataOnly="0" outline="0" fieldPosition="0"/>
    </format>
    <format dxfId="14">
      <pivotArea outline="0" collapsedLevelsAreSubtotals="1" fieldPosition="0"/>
    </format>
    <format dxfId="13">
      <pivotArea field="2" type="button" dataOnly="0" labelOnly="1" outline="0" axis="axisRow" fieldPosition="0"/>
    </format>
    <format dxfId="12">
      <pivotArea dataOnly="0" labelOnly="1" fieldPosition="0">
        <references count="1">
          <reference field="2" count="0"/>
        </references>
      </pivotArea>
    </format>
    <format dxfId="11">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9123470-2239-4E10-9CC1-A0079C53BC37}" autoFormatId="16" applyNumberFormats="0" applyBorderFormats="0" applyFontFormats="0" applyPatternFormats="0" applyAlignmentFormats="0" applyWidthHeightFormats="0">
  <queryTableRefresh nextId="8">
    <queryTableFields count="7">
      <queryTableField id="1" name="Date" tableColumnId="8"/>
      <queryTableField id="2" name="Month Name" tableColumnId="2"/>
      <queryTableField id="3" name="Location" tableColumnId="3"/>
      <queryTableField id="4" name="District" tableColumnId="4"/>
      <queryTableField id="5" name="Qty" tableColumnId="5"/>
      <queryTableField id="6" name="T Sale" tableColumnId="6"/>
      <queryTableField id="7" name="T Collection"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FCEE0105-851F-48CB-A214-BB759B5436D7}" sourceName="Month Name">
  <pivotTables>
    <pivotTable tabId="5" name="PivotTable1"/>
    <pivotTable tabId="6" name="RocketMeter"/>
    <pivotTable tabId="6" name="SpeedMeter"/>
    <pivotTable tabId="6" name="TubeMeter"/>
  </pivotTables>
  <data>
    <tabular pivotCacheId="68453419">
      <items count="5">
        <i x="2" s="1"/>
        <i x="1" s="1"/>
        <i x="3"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F17530CB-DAC8-48C0-9F46-02DAB72582CA}" cache="Slicer_Month_Name" caption="Month Name" startItem="1" style="MySlicer"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01EF08-04BC-428B-8179-7C6D5132ADE6}" name="Table1" displayName="Table1" ref="A1:A2" totalsRowShown="0">
  <autoFilter ref="A1:A2" xr:uid="{07E21053-0B4D-4863-B028-B14EE420BE0C}"/>
  <tableColumns count="1">
    <tableColumn id="1" xr3:uid="{D76EB196-DBE7-4709-A1E3-AB1CE3541E48}" name="Pat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33992A-68EA-4DBF-B04C-1DE30AD4B19A}" name="Data" displayName="Data" ref="A1:G1685" tableType="queryTable" totalsRowShown="0">
  <autoFilter ref="A1:G1685" xr:uid="{D0CA9CDB-567D-4C54-8FF1-D59B0D9F2628}"/>
  <tableColumns count="7">
    <tableColumn id="8" xr3:uid="{2CADE1E7-4168-4A0B-99B8-9D3B14054A27}" uniqueName="8" name="Date" queryTableFieldId="1" dataDxfId="29"/>
    <tableColumn id="2" xr3:uid="{C6E99DFC-B35B-4104-A9F4-70C634938759}" uniqueName="2" name="Month Name" queryTableFieldId="2" dataDxfId="28"/>
    <tableColumn id="3" xr3:uid="{A3499D19-E243-4A1C-99A3-FE36C6B0D531}" uniqueName="3" name="Location" queryTableFieldId="3" dataDxfId="27"/>
    <tableColumn id="4" xr3:uid="{F89DA6DA-90F4-4CCC-92F5-C222805FC3E2}" uniqueName="4" name="District" queryTableFieldId="4" dataDxfId="26"/>
    <tableColumn id="5" xr3:uid="{158267E7-2429-457F-AE6B-88CE7BAC418C}" uniqueName="5" name="Qty" queryTableFieldId="5"/>
    <tableColumn id="6" xr3:uid="{48096BE3-8E4C-4889-8609-B38735A85CDF}" uniqueName="6" name="T Sale" queryTableFieldId="6"/>
    <tableColumn id="7" xr3:uid="{1786B829-8269-496E-BF63-2CA1FAD2031A}" uniqueName="7" name="T Collection" queryTableFieldId="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drawing" Target="../drawings/drawing3.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25986-388B-4DFC-A5CA-EE3F192ACA56}">
  <sheetPr codeName="Sheet1"/>
  <dimension ref="A1:B36"/>
  <sheetViews>
    <sheetView showGridLines="0" showRowColHeaders="0" zoomScaleNormal="100" workbookViewId="0"/>
  </sheetViews>
  <sheetFormatPr defaultColWidth="14.28515625" defaultRowHeight="12.75" x14ac:dyDescent="0.2"/>
  <cols>
    <col min="1" max="1" width="8.42578125" style="2" bestFit="1" customWidth="1"/>
    <col min="2" max="2" width="55" style="2" bestFit="1" customWidth="1"/>
    <col min="3" max="16384" width="14.28515625" style="2"/>
  </cols>
  <sheetData>
    <row r="1" spans="1:2" x14ac:dyDescent="0.2">
      <c r="A1" s="10" t="s">
        <v>0</v>
      </c>
      <c r="B1" s="10" t="s">
        <v>1</v>
      </c>
    </row>
    <row r="2" spans="1:2" x14ac:dyDescent="0.2">
      <c r="A2" s="45" t="s">
        <v>2</v>
      </c>
      <c r="B2" s="9" t="s">
        <v>41</v>
      </c>
    </row>
    <row r="3" spans="1:2" x14ac:dyDescent="0.2">
      <c r="A3" s="45"/>
      <c r="B3" s="9" t="s">
        <v>11</v>
      </c>
    </row>
    <row r="4" spans="1:2" x14ac:dyDescent="0.2">
      <c r="A4" s="45"/>
      <c r="B4" s="9" t="s">
        <v>12</v>
      </c>
    </row>
    <row r="5" spans="1:2" x14ac:dyDescent="0.2">
      <c r="A5" s="45" t="s">
        <v>3</v>
      </c>
      <c r="B5" s="9" t="s">
        <v>4</v>
      </c>
    </row>
    <row r="6" spans="1:2" x14ac:dyDescent="0.2">
      <c r="A6" s="45"/>
      <c r="B6" s="9" t="s">
        <v>13</v>
      </c>
    </row>
    <row r="7" spans="1:2" x14ac:dyDescent="0.2">
      <c r="A7" s="45"/>
      <c r="B7" s="9" t="s">
        <v>14</v>
      </c>
    </row>
    <row r="8" spans="1:2" x14ac:dyDescent="0.2">
      <c r="A8" s="45"/>
      <c r="B8" s="9" t="s">
        <v>15</v>
      </c>
    </row>
    <row r="9" spans="1:2" x14ac:dyDescent="0.2">
      <c r="A9" s="45"/>
      <c r="B9" s="9" t="s">
        <v>16</v>
      </c>
    </row>
    <row r="10" spans="1:2" x14ac:dyDescent="0.2">
      <c r="A10" s="45"/>
      <c r="B10" s="9" t="s">
        <v>17</v>
      </c>
    </row>
    <row r="11" spans="1:2" x14ac:dyDescent="0.2">
      <c r="A11" s="45"/>
      <c r="B11" s="9" t="s">
        <v>18</v>
      </c>
    </row>
    <row r="12" spans="1:2" x14ac:dyDescent="0.2">
      <c r="A12" s="45"/>
      <c r="B12" s="9" t="s">
        <v>19</v>
      </c>
    </row>
    <row r="13" spans="1:2" x14ac:dyDescent="0.2">
      <c r="A13" s="3" t="s">
        <v>5</v>
      </c>
      <c r="B13" s="9" t="s">
        <v>20</v>
      </c>
    </row>
    <row r="14" spans="1:2" x14ac:dyDescent="0.2">
      <c r="A14" s="45" t="s">
        <v>6</v>
      </c>
      <c r="B14" s="9" t="s">
        <v>21</v>
      </c>
    </row>
    <row r="15" spans="1:2" x14ac:dyDescent="0.2">
      <c r="A15" s="45"/>
      <c r="B15" s="9" t="s">
        <v>22</v>
      </c>
    </row>
    <row r="16" spans="1:2" x14ac:dyDescent="0.2">
      <c r="A16" s="45"/>
      <c r="B16" s="9" t="s">
        <v>23</v>
      </c>
    </row>
    <row r="17" spans="1:2" x14ac:dyDescent="0.2">
      <c r="A17" s="45"/>
      <c r="B17" s="9" t="s">
        <v>24</v>
      </c>
    </row>
    <row r="18" spans="1:2" x14ac:dyDescent="0.2">
      <c r="A18" s="45"/>
      <c r="B18" s="9" t="s">
        <v>25</v>
      </c>
    </row>
    <row r="19" spans="1:2" x14ac:dyDescent="0.2">
      <c r="A19" s="45" t="s">
        <v>7</v>
      </c>
      <c r="B19" s="9" t="s">
        <v>26</v>
      </c>
    </row>
    <row r="20" spans="1:2" x14ac:dyDescent="0.2">
      <c r="A20" s="45"/>
      <c r="B20" s="9" t="s">
        <v>22</v>
      </c>
    </row>
    <row r="21" spans="1:2" x14ac:dyDescent="0.2">
      <c r="A21" s="45"/>
      <c r="B21" s="9" t="s">
        <v>27</v>
      </c>
    </row>
    <row r="22" spans="1:2" x14ac:dyDescent="0.2">
      <c r="A22" s="45"/>
      <c r="B22" s="9" t="s">
        <v>28</v>
      </c>
    </row>
    <row r="23" spans="1:2" x14ac:dyDescent="0.2">
      <c r="A23" s="45"/>
      <c r="B23" s="9" t="s">
        <v>29</v>
      </c>
    </row>
    <row r="24" spans="1:2" x14ac:dyDescent="0.2">
      <c r="A24" s="45" t="s">
        <v>8</v>
      </c>
      <c r="B24" s="9" t="s">
        <v>30</v>
      </c>
    </row>
    <row r="25" spans="1:2" x14ac:dyDescent="0.2">
      <c r="A25" s="45"/>
      <c r="B25" s="9" t="s">
        <v>31</v>
      </c>
    </row>
    <row r="26" spans="1:2" x14ac:dyDescent="0.2">
      <c r="A26" s="45"/>
      <c r="B26" s="9" t="s">
        <v>32</v>
      </c>
    </row>
    <row r="27" spans="1:2" x14ac:dyDescent="0.2">
      <c r="A27" s="45"/>
      <c r="B27" s="9" t="s">
        <v>28</v>
      </c>
    </row>
    <row r="28" spans="1:2" x14ac:dyDescent="0.2">
      <c r="A28" s="45"/>
      <c r="B28" s="9" t="s">
        <v>29</v>
      </c>
    </row>
    <row r="29" spans="1:2" x14ac:dyDescent="0.2">
      <c r="A29" s="45" t="s">
        <v>9</v>
      </c>
      <c r="B29" s="9" t="s">
        <v>33</v>
      </c>
    </row>
    <row r="30" spans="1:2" x14ac:dyDescent="0.2">
      <c r="A30" s="45"/>
      <c r="B30" s="9" t="s">
        <v>34</v>
      </c>
    </row>
    <row r="31" spans="1:2" x14ac:dyDescent="0.2">
      <c r="A31" s="45"/>
      <c r="B31" s="9" t="s">
        <v>35</v>
      </c>
    </row>
    <row r="32" spans="1:2" x14ac:dyDescent="0.2">
      <c r="A32" s="45"/>
      <c r="B32" s="9" t="s">
        <v>36</v>
      </c>
    </row>
    <row r="33" spans="1:2" x14ac:dyDescent="0.2">
      <c r="A33" s="45"/>
      <c r="B33" s="9" t="s">
        <v>37</v>
      </c>
    </row>
    <row r="34" spans="1:2" x14ac:dyDescent="0.2">
      <c r="A34" s="45" t="s">
        <v>10</v>
      </c>
      <c r="B34" s="9" t="s">
        <v>38</v>
      </c>
    </row>
    <row r="35" spans="1:2" x14ac:dyDescent="0.2">
      <c r="A35" s="45"/>
      <c r="B35" s="44" t="s">
        <v>39</v>
      </c>
    </row>
    <row r="36" spans="1:2" x14ac:dyDescent="0.2">
      <c r="A36" s="45"/>
      <c r="B36" s="9" t="s">
        <v>40</v>
      </c>
    </row>
  </sheetData>
  <mergeCells count="7">
    <mergeCell ref="A34:A36"/>
    <mergeCell ref="A2:A4"/>
    <mergeCell ref="A5:A12"/>
    <mergeCell ref="A14:A18"/>
    <mergeCell ref="A19:A23"/>
    <mergeCell ref="A24:A28"/>
    <mergeCell ref="A29:A3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F163A-1773-40EB-B223-2F6CDA55C53D}">
  <sheetPr codeName="Sheet2"/>
  <dimension ref="A1:A2"/>
  <sheetViews>
    <sheetView showGridLines="0" showRowColHeaders="0" workbookViewId="0"/>
  </sheetViews>
  <sheetFormatPr defaultRowHeight="15" x14ac:dyDescent="0.25"/>
  <cols>
    <col min="1" max="1" width="47.42578125" bestFit="1" customWidth="1"/>
  </cols>
  <sheetData>
    <row r="1" spans="1:1" x14ac:dyDescent="0.25">
      <c r="A1" t="s">
        <v>42</v>
      </c>
    </row>
    <row r="2" spans="1:1" x14ac:dyDescent="0.25">
      <c r="A2" t="s">
        <v>43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302C4-17D0-4012-B50A-0061D24D2746}">
  <sheetPr codeName="Sheet4"/>
  <dimension ref="A1:G1685"/>
  <sheetViews>
    <sheetView showGridLines="0" showRowColHeaders="0" workbookViewId="0"/>
  </sheetViews>
  <sheetFormatPr defaultRowHeight="15" x14ac:dyDescent="0.25"/>
  <cols>
    <col min="1" max="1" width="10.42578125" bestFit="1" customWidth="1"/>
    <col min="2" max="2" width="15" bestFit="1" customWidth="1"/>
    <col min="3" max="3" width="11.28515625" bestFit="1" customWidth="1"/>
    <col min="4" max="4" width="22.42578125" bestFit="1" customWidth="1"/>
    <col min="5" max="5" width="6.42578125" bestFit="1" customWidth="1"/>
    <col min="6" max="6" width="8.42578125" bestFit="1" customWidth="1"/>
    <col min="7" max="7" width="13.7109375" bestFit="1" customWidth="1"/>
  </cols>
  <sheetData>
    <row r="1" spans="1:7" x14ac:dyDescent="0.25">
      <c r="A1" s="4" t="s">
        <v>44</v>
      </c>
      <c r="B1" s="4" t="s">
        <v>45</v>
      </c>
      <c r="C1" s="4" t="s">
        <v>46</v>
      </c>
      <c r="D1" s="4" t="s">
        <v>47</v>
      </c>
      <c r="E1" s="4" t="s">
        <v>48</v>
      </c>
      <c r="F1" s="4" t="s">
        <v>49</v>
      </c>
      <c r="G1" s="4" t="s">
        <v>50</v>
      </c>
    </row>
    <row r="2" spans="1:7" x14ac:dyDescent="0.25">
      <c r="A2" s="5">
        <v>43557</v>
      </c>
      <c r="B2" s="4" t="s">
        <v>51</v>
      </c>
      <c r="C2" s="4" t="s">
        <v>52</v>
      </c>
      <c r="D2" s="4" t="s">
        <v>53</v>
      </c>
      <c r="E2" s="4">
        <v>20</v>
      </c>
      <c r="F2" s="4">
        <v>10160</v>
      </c>
      <c r="G2" s="4">
        <v>0</v>
      </c>
    </row>
    <row r="3" spans="1:7" x14ac:dyDescent="0.25">
      <c r="A3" s="5">
        <v>43557</v>
      </c>
      <c r="B3" s="4" t="s">
        <v>51</v>
      </c>
      <c r="C3" s="4" t="s">
        <v>52</v>
      </c>
      <c r="D3" s="4" t="s">
        <v>54</v>
      </c>
      <c r="E3" s="4">
        <v>140</v>
      </c>
      <c r="F3" s="4">
        <v>70065</v>
      </c>
      <c r="G3" s="4">
        <v>0</v>
      </c>
    </row>
    <row r="4" spans="1:7" x14ac:dyDescent="0.25">
      <c r="A4" s="5">
        <v>43557</v>
      </c>
      <c r="B4" s="4" t="s">
        <v>51</v>
      </c>
      <c r="C4" s="4" t="s">
        <v>52</v>
      </c>
      <c r="D4" s="4" t="s">
        <v>55</v>
      </c>
      <c r="E4" s="4">
        <v>236</v>
      </c>
      <c r="F4" s="4">
        <v>117760</v>
      </c>
      <c r="G4" s="4">
        <v>0</v>
      </c>
    </row>
    <row r="5" spans="1:7" x14ac:dyDescent="0.25">
      <c r="A5" s="5">
        <v>43557</v>
      </c>
      <c r="B5" s="4" t="s">
        <v>51</v>
      </c>
      <c r="C5" s="4" t="s">
        <v>52</v>
      </c>
      <c r="D5" s="4" t="s">
        <v>56</v>
      </c>
      <c r="E5" s="4">
        <v>157</v>
      </c>
      <c r="F5" s="4">
        <v>78400</v>
      </c>
      <c r="G5" s="4">
        <v>0</v>
      </c>
    </row>
    <row r="6" spans="1:7" x14ac:dyDescent="0.25">
      <c r="A6" s="5">
        <v>43557</v>
      </c>
      <c r="B6" s="4" t="s">
        <v>51</v>
      </c>
      <c r="C6" s="4" t="s">
        <v>52</v>
      </c>
      <c r="D6" s="4" t="s">
        <v>57</v>
      </c>
      <c r="E6" s="4">
        <v>319</v>
      </c>
      <c r="F6" s="4">
        <v>159421</v>
      </c>
      <c r="G6" s="4">
        <v>0</v>
      </c>
    </row>
    <row r="7" spans="1:7" x14ac:dyDescent="0.25">
      <c r="A7" s="5">
        <v>43558</v>
      </c>
      <c r="B7" s="4" t="s">
        <v>51</v>
      </c>
      <c r="C7" s="4" t="s">
        <v>52</v>
      </c>
      <c r="D7" s="4" t="s">
        <v>55</v>
      </c>
      <c r="E7" s="4">
        <v>61</v>
      </c>
      <c r="F7" s="4">
        <v>30450</v>
      </c>
      <c r="G7" s="4">
        <v>0</v>
      </c>
    </row>
    <row r="8" spans="1:7" x14ac:dyDescent="0.25">
      <c r="A8" s="5">
        <v>43558</v>
      </c>
      <c r="B8" s="4" t="s">
        <v>51</v>
      </c>
      <c r="C8" s="4" t="s">
        <v>52</v>
      </c>
      <c r="D8" s="4" t="s">
        <v>53</v>
      </c>
      <c r="E8" s="4">
        <v>33</v>
      </c>
      <c r="F8" s="4">
        <v>16269</v>
      </c>
      <c r="G8" s="4">
        <v>2000000</v>
      </c>
    </row>
    <row r="9" spans="1:7" x14ac:dyDescent="0.25">
      <c r="A9" s="5">
        <v>43558</v>
      </c>
      <c r="B9" s="4" t="s">
        <v>51</v>
      </c>
      <c r="C9" s="4" t="s">
        <v>52</v>
      </c>
      <c r="D9" s="4" t="s">
        <v>58</v>
      </c>
      <c r="E9" s="4">
        <v>459</v>
      </c>
      <c r="F9" s="4">
        <v>229609</v>
      </c>
      <c r="G9" s="4">
        <v>150000</v>
      </c>
    </row>
    <row r="10" spans="1:7" x14ac:dyDescent="0.25">
      <c r="A10" s="5">
        <v>43559</v>
      </c>
      <c r="B10" s="4" t="s">
        <v>51</v>
      </c>
      <c r="C10" s="4" t="s">
        <v>52</v>
      </c>
      <c r="D10" s="4" t="s">
        <v>56</v>
      </c>
      <c r="E10" s="4">
        <v>307</v>
      </c>
      <c r="F10" s="4">
        <v>153627</v>
      </c>
      <c r="G10" s="4">
        <v>50000</v>
      </c>
    </row>
    <row r="11" spans="1:7" x14ac:dyDescent="0.25">
      <c r="A11" s="5">
        <v>43559</v>
      </c>
      <c r="B11" s="4" t="s">
        <v>51</v>
      </c>
      <c r="C11" s="4" t="s">
        <v>52</v>
      </c>
      <c r="D11" s="4" t="s">
        <v>59</v>
      </c>
      <c r="E11" s="4">
        <v>416</v>
      </c>
      <c r="F11" s="4">
        <v>208034</v>
      </c>
      <c r="G11" s="4">
        <v>0</v>
      </c>
    </row>
    <row r="12" spans="1:7" x14ac:dyDescent="0.25">
      <c r="A12" s="5">
        <v>43559</v>
      </c>
      <c r="B12" s="4" t="s">
        <v>51</v>
      </c>
      <c r="C12" s="4" t="s">
        <v>52</v>
      </c>
      <c r="D12" s="4" t="s">
        <v>54</v>
      </c>
      <c r="E12" s="4">
        <v>161</v>
      </c>
      <c r="F12" s="4">
        <v>80645</v>
      </c>
      <c r="G12" s="4">
        <v>30000</v>
      </c>
    </row>
    <row r="13" spans="1:7" x14ac:dyDescent="0.25">
      <c r="A13" s="5">
        <v>43560</v>
      </c>
      <c r="B13" s="4" t="s">
        <v>51</v>
      </c>
      <c r="C13" s="4" t="s">
        <v>52</v>
      </c>
      <c r="D13" s="4" t="s">
        <v>53</v>
      </c>
      <c r="E13" s="4">
        <v>101</v>
      </c>
      <c r="F13" s="4">
        <v>50470</v>
      </c>
      <c r="G13" s="4">
        <v>40000</v>
      </c>
    </row>
    <row r="14" spans="1:7" x14ac:dyDescent="0.25">
      <c r="A14" s="5">
        <v>43560</v>
      </c>
      <c r="B14" s="4" t="s">
        <v>51</v>
      </c>
      <c r="C14" s="4" t="s">
        <v>52</v>
      </c>
      <c r="D14" s="4" t="s">
        <v>60</v>
      </c>
      <c r="E14" s="4">
        <v>85</v>
      </c>
      <c r="F14" s="4">
        <v>42350</v>
      </c>
      <c r="G14" s="4">
        <v>0</v>
      </c>
    </row>
    <row r="15" spans="1:7" x14ac:dyDescent="0.25">
      <c r="A15" s="5">
        <v>43560</v>
      </c>
      <c r="B15" s="4" t="s">
        <v>51</v>
      </c>
      <c r="C15" s="4" t="s">
        <v>52</v>
      </c>
      <c r="D15" s="4" t="s">
        <v>53</v>
      </c>
      <c r="E15" s="4">
        <v>158</v>
      </c>
      <c r="F15" s="4">
        <v>78959</v>
      </c>
      <c r="G15" s="4">
        <v>50000</v>
      </c>
    </row>
    <row r="16" spans="1:7" x14ac:dyDescent="0.25">
      <c r="A16" s="5">
        <v>43560</v>
      </c>
      <c r="B16" s="4" t="s">
        <v>51</v>
      </c>
      <c r="C16" s="4" t="s">
        <v>52</v>
      </c>
      <c r="D16" s="4" t="s">
        <v>56</v>
      </c>
      <c r="E16" s="4">
        <v>172</v>
      </c>
      <c r="F16" s="4">
        <v>85900</v>
      </c>
      <c r="G16" s="4">
        <v>2000000</v>
      </c>
    </row>
    <row r="17" spans="1:7" x14ac:dyDescent="0.25">
      <c r="A17" s="5">
        <v>43561</v>
      </c>
      <c r="B17" s="4" t="s">
        <v>51</v>
      </c>
      <c r="C17" s="4" t="s">
        <v>52</v>
      </c>
      <c r="D17" s="4" t="s">
        <v>61</v>
      </c>
      <c r="E17" s="4">
        <v>176</v>
      </c>
      <c r="F17" s="4">
        <v>88042</v>
      </c>
      <c r="G17" s="4">
        <v>2000000</v>
      </c>
    </row>
    <row r="18" spans="1:7" x14ac:dyDescent="0.25">
      <c r="A18" s="5">
        <v>43561</v>
      </c>
      <c r="B18" s="4" t="s">
        <v>51</v>
      </c>
      <c r="C18" s="4" t="s">
        <v>52</v>
      </c>
      <c r="D18" s="4" t="s">
        <v>55</v>
      </c>
      <c r="E18" s="4">
        <v>63</v>
      </c>
      <c r="F18" s="4">
        <v>31275</v>
      </c>
      <c r="G18" s="4">
        <v>2000000</v>
      </c>
    </row>
    <row r="19" spans="1:7" x14ac:dyDescent="0.25">
      <c r="A19" s="5">
        <v>43562</v>
      </c>
      <c r="B19" s="4" t="s">
        <v>51</v>
      </c>
      <c r="C19" s="4" t="s">
        <v>52</v>
      </c>
      <c r="D19" s="4" t="s">
        <v>55</v>
      </c>
      <c r="E19" s="4">
        <v>7</v>
      </c>
      <c r="F19" s="4">
        <v>3420</v>
      </c>
      <c r="G19" s="4">
        <v>2000000</v>
      </c>
    </row>
    <row r="20" spans="1:7" x14ac:dyDescent="0.25">
      <c r="A20" s="5">
        <v>43562</v>
      </c>
      <c r="B20" s="4" t="s">
        <v>51</v>
      </c>
      <c r="C20" s="4" t="s">
        <v>52</v>
      </c>
      <c r="D20" s="4" t="s">
        <v>53</v>
      </c>
      <c r="E20" s="4">
        <v>128</v>
      </c>
      <c r="F20" s="4">
        <v>63960</v>
      </c>
      <c r="G20" s="4">
        <v>2000000</v>
      </c>
    </row>
    <row r="21" spans="1:7" x14ac:dyDescent="0.25">
      <c r="A21" s="5">
        <v>43564</v>
      </c>
      <c r="B21" s="4" t="s">
        <v>51</v>
      </c>
      <c r="C21" s="4" t="s">
        <v>52</v>
      </c>
      <c r="D21" s="4" t="s">
        <v>55</v>
      </c>
      <c r="E21" s="4">
        <v>391</v>
      </c>
      <c r="F21" s="4">
        <v>195360</v>
      </c>
      <c r="G21" s="4">
        <v>40000</v>
      </c>
    </row>
    <row r="22" spans="1:7" x14ac:dyDescent="0.25">
      <c r="A22" s="5">
        <v>43564</v>
      </c>
      <c r="B22" s="4" t="s">
        <v>51</v>
      </c>
      <c r="C22" s="4" t="s">
        <v>52</v>
      </c>
      <c r="D22" s="4" t="s">
        <v>53</v>
      </c>
      <c r="E22" s="4">
        <v>292</v>
      </c>
      <c r="F22" s="4">
        <v>145835</v>
      </c>
      <c r="G22" s="4">
        <v>20000</v>
      </c>
    </row>
    <row r="23" spans="1:7" x14ac:dyDescent="0.25">
      <c r="A23" s="5">
        <v>43564</v>
      </c>
      <c r="B23" s="4" t="s">
        <v>51</v>
      </c>
      <c r="C23" s="4" t="s">
        <v>52</v>
      </c>
      <c r="D23" s="4" t="s">
        <v>55</v>
      </c>
      <c r="E23" s="4">
        <v>120</v>
      </c>
      <c r="F23" s="4">
        <v>59974</v>
      </c>
      <c r="G23" s="4">
        <v>31000</v>
      </c>
    </row>
    <row r="24" spans="1:7" x14ac:dyDescent="0.25">
      <c r="A24" s="5">
        <v>43565</v>
      </c>
      <c r="B24" s="4" t="s">
        <v>51</v>
      </c>
      <c r="C24" s="4" t="s">
        <v>52</v>
      </c>
      <c r="D24" s="4" t="s">
        <v>62</v>
      </c>
      <c r="E24" s="4">
        <v>97</v>
      </c>
      <c r="F24" s="4">
        <v>48668</v>
      </c>
      <c r="G24" s="4">
        <v>25000</v>
      </c>
    </row>
    <row r="25" spans="1:7" x14ac:dyDescent="0.25">
      <c r="A25" s="5">
        <v>43566</v>
      </c>
      <c r="B25" s="4" t="s">
        <v>51</v>
      </c>
      <c r="C25" s="4" t="s">
        <v>52</v>
      </c>
      <c r="D25" s="4" t="s">
        <v>61</v>
      </c>
      <c r="E25" s="4">
        <v>101</v>
      </c>
      <c r="F25" s="4">
        <v>50400</v>
      </c>
      <c r="G25" s="4">
        <v>0</v>
      </c>
    </row>
    <row r="26" spans="1:7" x14ac:dyDescent="0.25">
      <c r="A26" s="5">
        <v>43566</v>
      </c>
      <c r="B26" s="4" t="s">
        <v>51</v>
      </c>
      <c r="C26" s="4" t="s">
        <v>52</v>
      </c>
      <c r="D26" s="4" t="s">
        <v>63</v>
      </c>
      <c r="E26" s="4">
        <v>82</v>
      </c>
      <c r="F26" s="4">
        <v>40850</v>
      </c>
      <c r="G26" s="4">
        <v>40850</v>
      </c>
    </row>
    <row r="27" spans="1:7" x14ac:dyDescent="0.25">
      <c r="A27" s="5">
        <v>43566</v>
      </c>
      <c r="B27" s="4" t="s">
        <v>51</v>
      </c>
      <c r="C27" s="4" t="s">
        <v>52</v>
      </c>
      <c r="D27" s="4" t="s">
        <v>64</v>
      </c>
      <c r="E27" s="4">
        <v>208</v>
      </c>
      <c r="F27" s="4">
        <v>103986</v>
      </c>
      <c r="G27" s="4">
        <v>70000</v>
      </c>
    </row>
    <row r="28" spans="1:7" x14ac:dyDescent="0.25">
      <c r="A28" s="5">
        <v>43566</v>
      </c>
      <c r="B28" s="4" t="s">
        <v>51</v>
      </c>
      <c r="C28" s="4" t="s">
        <v>52</v>
      </c>
      <c r="D28" s="4" t="s">
        <v>65</v>
      </c>
      <c r="E28" s="4">
        <v>200</v>
      </c>
      <c r="F28" s="4">
        <v>100014</v>
      </c>
      <c r="G28" s="4">
        <v>0</v>
      </c>
    </row>
    <row r="29" spans="1:7" x14ac:dyDescent="0.25">
      <c r="A29" s="5">
        <v>43566</v>
      </c>
      <c r="B29" s="4" t="s">
        <v>51</v>
      </c>
      <c r="C29" s="4" t="s">
        <v>52</v>
      </c>
      <c r="D29" s="4" t="s">
        <v>54</v>
      </c>
      <c r="E29">
        <v>29</v>
      </c>
      <c r="F29">
        <v>14740</v>
      </c>
      <c r="G29">
        <v>15000</v>
      </c>
    </row>
    <row r="30" spans="1:7" x14ac:dyDescent="0.25">
      <c r="A30" s="5">
        <v>43566</v>
      </c>
      <c r="B30" s="4" t="s">
        <v>51</v>
      </c>
      <c r="C30" s="4" t="s">
        <v>52</v>
      </c>
      <c r="D30" s="4" t="s">
        <v>53</v>
      </c>
      <c r="E30">
        <v>102</v>
      </c>
      <c r="F30">
        <v>50876</v>
      </c>
      <c r="G30">
        <v>2000000</v>
      </c>
    </row>
    <row r="31" spans="1:7" x14ac:dyDescent="0.25">
      <c r="A31" s="5">
        <v>43567</v>
      </c>
      <c r="B31" s="4" t="s">
        <v>51</v>
      </c>
      <c r="C31" s="4" t="s">
        <v>52</v>
      </c>
      <c r="D31" s="4" t="s">
        <v>57</v>
      </c>
      <c r="E31">
        <v>358</v>
      </c>
      <c r="F31">
        <v>178895</v>
      </c>
      <c r="G31">
        <v>2000000</v>
      </c>
    </row>
    <row r="32" spans="1:7" x14ac:dyDescent="0.25">
      <c r="A32" s="5">
        <v>43567</v>
      </c>
      <c r="B32" s="4" t="s">
        <v>51</v>
      </c>
      <c r="C32" s="4" t="s">
        <v>52</v>
      </c>
      <c r="D32" s="4" t="s">
        <v>53</v>
      </c>
      <c r="E32">
        <v>200</v>
      </c>
      <c r="F32">
        <v>99949</v>
      </c>
      <c r="G32">
        <v>60400</v>
      </c>
    </row>
    <row r="33" spans="1:7" x14ac:dyDescent="0.25">
      <c r="A33" s="5">
        <v>43567</v>
      </c>
      <c r="B33" s="4" t="s">
        <v>51</v>
      </c>
      <c r="C33" s="4" t="s">
        <v>52</v>
      </c>
      <c r="D33" s="4" t="s">
        <v>53</v>
      </c>
      <c r="E33">
        <v>379</v>
      </c>
      <c r="F33">
        <v>189431</v>
      </c>
      <c r="G33">
        <v>0</v>
      </c>
    </row>
    <row r="34" spans="1:7" x14ac:dyDescent="0.25">
      <c r="A34" s="5">
        <v>43567</v>
      </c>
      <c r="B34" s="4" t="s">
        <v>51</v>
      </c>
      <c r="C34" s="4" t="s">
        <v>52</v>
      </c>
      <c r="D34" s="4" t="s">
        <v>54</v>
      </c>
      <c r="E34">
        <v>17</v>
      </c>
      <c r="F34">
        <v>8560</v>
      </c>
      <c r="G34">
        <v>8000</v>
      </c>
    </row>
    <row r="35" spans="1:7" x14ac:dyDescent="0.25">
      <c r="A35" s="5">
        <v>43568</v>
      </c>
      <c r="B35" s="4" t="s">
        <v>51</v>
      </c>
      <c r="C35" s="4" t="s">
        <v>52</v>
      </c>
      <c r="D35" s="4" t="s">
        <v>60</v>
      </c>
      <c r="E35">
        <v>307</v>
      </c>
      <c r="F35">
        <v>153419</v>
      </c>
      <c r="G35">
        <v>0</v>
      </c>
    </row>
    <row r="36" spans="1:7" x14ac:dyDescent="0.25">
      <c r="A36" s="5">
        <v>43572</v>
      </c>
      <c r="B36" s="4" t="s">
        <v>51</v>
      </c>
      <c r="C36" s="4" t="s">
        <v>52</v>
      </c>
      <c r="D36" s="4" t="s">
        <v>57</v>
      </c>
      <c r="E36">
        <v>4935</v>
      </c>
      <c r="F36">
        <v>2467699</v>
      </c>
      <c r="G36">
        <v>0</v>
      </c>
    </row>
    <row r="37" spans="1:7" x14ac:dyDescent="0.25">
      <c r="A37" s="5">
        <v>43572</v>
      </c>
      <c r="B37" s="4" t="s">
        <v>51</v>
      </c>
      <c r="C37" s="4" t="s">
        <v>52</v>
      </c>
      <c r="D37" s="4" t="s">
        <v>66</v>
      </c>
      <c r="E37">
        <v>105</v>
      </c>
      <c r="F37">
        <v>52484</v>
      </c>
      <c r="G37">
        <v>50000</v>
      </c>
    </row>
    <row r="38" spans="1:7" x14ac:dyDescent="0.25">
      <c r="A38" s="5">
        <v>43572</v>
      </c>
      <c r="B38" s="4" t="s">
        <v>51</v>
      </c>
      <c r="C38" s="4" t="s">
        <v>52</v>
      </c>
      <c r="D38" s="4" t="s">
        <v>55</v>
      </c>
      <c r="E38">
        <v>80</v>
      </c>
      <c r="F38">
        <v>39970</v>
      </c>
      <c r="G38">
        <v>0</v>
      </c>
    </row>
    <row r="39" spans="1:7" x14ac:dyDescent="0.25">
      <c r="A39" s="5">
        <v>43572</v>
      </c>
      <c r="B39" s="4" t="s">
        <v>51</v>
      </c>
      <c r="C39" s="4" t="s">
        <v>52</v>
      </c>
      <c r="D39" s="4" t="s">
        <v>54</v>
      </c>
      <c r="E39">
        <v>654</v>
      </c>
      <c r="F39">
        <v>327040</v>
      </c>
      <c r="G39">
        <v>0</v>
      </c>
    </row>
    <row r="40" spans="1:7" x14ac:dyDescent="0.25">
      <c r="A40" s="5">
        <v>43573</v>
      </c>
      <c r="B40" s="4" t="s">
        <v>51</v>
      </c>
      <c r="C40" s="4" t="s">
        <v>52</v>
      </c>
      <c r="D40" s="4" t="s">
        <v>66</v>
      </c>
      <c r="E40">
        <v>122</v>
      </c>
      <c r="F40">
        <v>60922</v>
      </c>
      <c r="G40">
        <v>45000</v>
      </c>
    </row>
    <row r="41" spans="1:7" x14ac:dyDescent="0.25">
      <c r="A41" s="5">
        <v>43573</v>
      </c>
      <c r="B41" s="4" t="s">
        <v>51</v>
      </c>
      <c r="C41" s="4" t="s">
        <v>52</v>
      </c>
      <c r="D41" s="4" t="s">
        <v>57</v>
      </c>
      <c r="E41">
        <v>233</v>
      </c>
      <c r="F41">
        <v>116520</v>
      </c>
      <c r="G41">
        <v>0</v>
      </c>
    </row>
    <row r="42" spans="1:7" x14ac:dyDescent="0.25">
      <c r="A42" s="5">
        <v>43573</v>
      </c>
      <c r="B42" s="4" t="s">
        <v>51</v>
      </c>
      <c r="C42" s="4" t="s">
        <v>52</v>
      </c>
      <c r="D42" s="4" t="s">
        <v>53</v>
      </c>
      <c r="E42">
        <v>535</v>
      </c>
      <c r="F42">
        <v>267502</v>
      </c>
      <c r="G42">
        <v>100000</v>
      </c>
    </row>
    <row r="43" spans="1:7" x14ac:dyDescent="0.25">
      <c r="A43" s="5">
        <v>43573</v>
      </c>
      <c r="B43" s="4" t="s">
        <v>51</v>
      </c>
      <c r="C43" s="4" t="s">
        <v>52</v>
      </c>
      <c r="D43" s="4" t="s">
        <v>61</v>
      </c>
      <c r="E43">
        <v>53</v>
      </c>
      <c r="F43">
        <v>26300</v>
      </c>
      <c r="G43">
        <v>30800</v>
      </c>
    </row>
    <row r="44" spans="1:7" x14ac:dyDescent="0.25">
      <c r="A44" s="5">
        <v>43573</v>
      </c>
      <c r="B44" s="4" t="s">
        <v>51</v>
      </c>
      <c r="C44" s="4" t="s">
        <v>52</v>
      </c>
      <c r="D44" s="4" t="s">
        <v>61</v>
      </c>
      <c r="E44">
        <v>14</v>
      </c>
      <c r="F44">
        <v>6920</v>
      </c>
      <c r="G44">
        <v>6920</v>
      </c>
    </row>
    <row r="45" spans="1:7" x14ac:dyDescent="0.25">
      <c r="A45" s="5">
        <v>43573</v>
      </c>
      <c r="B45" s="4" t="s">
        <v>51</v>
      </c>
      <c r="C45" s="4" t="s">
        <v>52</v>
      </c>
      <c r="D45" s="4" t="s">
        <v>62</v>
      </c>
      <c r="E45">
        <v>45</v>
      </c>
      <c r="F45">
        <v>22380</v>
      </c>
      <c r="G45">
        <v>85000</v>
      </c>
    </row>
    <row r="46" spans="1:7" x14ac:dyDescent="0.25">
      <c r="A46" s="5">
        <v>43573</v>
      </c>
      <c r="B46" s="4" t="s">
        <v>51</v>
      </c>
      <c r="C46" s="4" t="s">
        <v>52</v>
      </c>
      <c r="D46" s="4" t="s">
        <v>58</v>
      </c>
      <c r="E46">
        <v>119</v>
      </c>
      <c r="F46">
        <v>59458</v>
      </c>
      <c r="G46">
        <v>19450</v>
      </c>
    </row>
    <row r="47" spans="1:7" x14ac:dyDescent="0.25">
      <c r="A47" s="5">
        <v>43573</v>
      </c>
      <c r="B47" s="4" t="s">
        <v>51</v>
      </c>
      <c r="C47" s="4" t="s">
        <v>52</v>
      </c>
      <c r="D47" s="4" t="s">
        <v>55</v>
      </c>
      <c r="E47">
        <v>56</v>
      </c>
      <c r="F47">
        <v>27875</v>
      </c>
      <c r="G47">
        <v>20500</v>
      </c>
    </row>
    <row r="48" spans="1:7" x14ac:dyDescent="0.25">
      <c r="A48" s="5">
        <v>43574</v>
      </c>
      <c r="B48" s="4" t="s">
        <v>51</v>
      </c>
      <c r="C48" s="4" t="s">
        <v>52</v>
      </c>
      <c r="D48" s="4" t="s">
        <v>53</v>
      </c>
      <c r="E48">
        <v>11</v>
      </c>
      <c r="F48">
        <v>5580</v>
      </c>
      <c r="G48">
        <v>4000</v>
      </c>
    </row>
    <row r="49" spans="1:7" x14ac:dyDescent="0.25">
      <c r="A49" s="5">
        <v>43575</v>
      </c>
      <c r="B49" s="4" t="s">
        <v>51</v>
      </c>
      <c r="C49" s="4" t="s">
        <v>52</v>
      </c>
      <c r="D49" s="4" t="s">
        <v>55</v>
      </c>
      <c r="E49">
        <v>400</v>
      </c>
      <c r="F49">
        <v>199883</v>
      </c>
      <c r="G49">
        <v>20000</v>
      </c>
    </row>
    <row r="50" spans="1:7" x14ac:dyDescent="0.25">
      <c r="A50" s="5">
        <v>43575</v>
      </c>
      <c r="B50" s="4" t="s">
        <v>51</v>
      </c>
      <c r="C50" s="4" t="s">
        <v>52</v>
      </c>
      <c r="D50" s="4" t="s">
        <v>60</v>
      </c>
      <c r="E50">
        <v>970</v>
      </c>
      <c r="F50">
        <v>485172</v>
      </c>
      <c r="G50">
        <v>2000000</v>
      </c>
    </row>
    <row r="51" spans="1:7" x14ac:dyDescent="0.25">
      <c r="A51" s="5">
        <v>43575</v>
      </c>
      <c r="B51" s="4" t="s">
        <v>51</v>
      </c>
      <c r="C51" s="4" t="s">
        <v>52</v>
      </c>
      <c r="D51" s="4" t="s">
        <v>67</v>
      </c>
      <c r="E51">
        <v>306</v>
      </c>
      <c r="F51">
        <v>152800</v>
      </c>
      <c r="G51">
        <v>2000000</v>
      </c>
    </row>
    <row r="52" spans="1:7" x14ac:dyDescent="0.25">
      <c r="A52" s="5">
        <v>43575</v>
      </c>
      <c r="B52" s="4" t="s">
        <v>51</v>
      </c>
      <c r="C52" s="4" t="s">
        <v>52</v>
      </c>
      <c r="D52" s="4" t="s">
        <v>64</v>
      </c>
      <c r="E52">
        <v>201</v>
      </c>
      <c r="F52">
        <v>100682</v>
      </c>
      <c r="G52">
        <v>2000000</v>
      </c>
    </row>
    <row r="53" spans="1:7" x14ac:dyDescent="0.25">
      <c r="A53" s="5">
        <v>43576</v>
      </c>
      <c r="B53" s="4" t="s">
        <v>51</v>
      </c>
      <c r="C53" s="4" t="s">
        <v>52</v>
      </c>
      <c r="D53" s="4" t="s">
        <v>55</v>
      </c>
      <c r="E53">
        <v>149</v>
      </c>
      <c r="F53">
        <v>74694</v>
      </c>
      <c r="G53">
        <v>10000</v>
      </c>
    </row>
    <row r="54" spans="1:7" x14ac:dyDescent="0.25">
      <c r="A54" s="5">
        <v>43576</v>
      </c>
      <c r="B54" s="4" t="s">
        <v>51</v>
      </c>
      <c r="C54" s="4" t="s">
        <v>52</v>
      </c>
      <c r="D54" s="4" t="s">
        <v>58</v>
      </c>
      <c r="E54">
        <v>137</v>
      </c>
      <c r="F54">
        <v>68355</v>
      </c>
      <c r="G54">
        <v>0</v>
      </c>
    </row>
    <row r="55" spans="1:7" x14ac:dyDescent="0.25">
      <c r="A55" s="5">
        <v>43576</v>
      </c>
      <c r="B55" s="4" t="s">
        <v>51</v>
      </c>
      <c r="C55" s="4" t="s">
        <v>52</v>
      </c>
      <c r="D55" s="4" t="s">
        <v>53</v>
      </c>
      <c r="E55">
        <v>358</v>
      </c>
      <c r="F55">
        <v>179096</v>
      </c>
      <c r="G55">
        <v>0</v>
      </c>
    </row>
    <row r="56" spans="1:7" x14ac:dyDescent="0.25">
      <c r="A56" s="5">
        <v>43578</v>
      </c>
      <c r="B56" s="4" t="s">
        <v>51</v>
      </c>
      <c r="C56" s="4" t="s">
        <v>52</v>
      </c>
      <c r="D56" s="4" t="s">
        <v>60</v>
      </c>
      <c r="E56">
        <v>581</v>
      </c>
      <c r="F56">
        <v>290615</v>
      </c>
      <c r="G56">
        <v>0</v>
      </c>
    </row>
    <row r="57" spans="1:7" x14ac:dyDescent="0.25">
      <c r="A57" s="5">
        <v>43578</v>
      </c>
      <c r="B57" s="4" t="s">
        <v>51</v>
      </c>
      <c r="C57" s="4" t="s">
        <v>52</v>
      </c>
      <c r="D57" s="4" t="s">
        <v>58</v>
      </c>
      <c r="E57">
        <v>204</v>
      </c>
      <c r="F57">
        <v>101753</v>
      </c>
      <c r="G57">
        <v>0</v>
      </c>
    </row>
    <row r="58" spans="1:7" x14ac:dyDescent="0.25">
      <c r="A58" s="5">
        <v>43578</v>
      </c>
      <c r="B58" s="4" t="s">
        <v>51</v>
      </c>
      <c r="C58" s="4" t="s">
        <v>52</v>
      </c>
      <c r="D58" s="4" t="s">
        <v>53</v>
      </c>
      <c r="E58">
        <v>253</v>
      </c>
      <c r="F58">
        <v>126585</v>
      </c>
      <c r="G58">
        <v>0</v>
      </c>
    </row>
    <row r="59" spans="1:7" x14ac:dyDescent="0.25">
      <c r="A59" s="5">
        <v>43579</v>
      </c>
      <c r="B59" s="4" t="s">
        <v>51</v>
      </c>
      <c r="C59" s="4" t="s">
        <v>52</v>
      </c>
      <c r="D59" s="4" t="s">
        <v>57</v>
      </c>
      <c r="E59">
        <v>707</v>
      </c>
      <c r="F59">
        <v>353592</v>
      </c>
      <c r="G59">
        <v>0</v>
      </c>
    </row>
    <row r="60" spans="1:7" x14ac:dyDescent="0.25">
      <c r="A60" s="5">
        <v>43579</v>
      </c>
      <c r="B60" s="4" t="s">
        <v>51</v>
      </c>
      <c r="C60" s="4" t="s">
        <v>52</v>
      </c>
      <c r="D60" s="4" t="s">
        <v>53</v>
      </c>
      <c r="E60">
        <v>423</v>
      </c>
      <c r="F60">
        <v>211420</v>
      </c>
      <c r="G60">
        <v>60000</v>
      </c>
    </row>
    <row r="61" spans="1:7" x14ac:dyDescent="0.25">
      <c r="A61" s="5">
        <v>43580</v>
      </c>
      <c r="B61" s="4" t="s">
        <v>51</v>
      </c>
      <c r="C61" s="4" t="s">
        <v>52</v>
      </c>
      <c r="D61" s="4" t="s">
        <v>57</v>
      </c>
      <c r="E61">
        <v>1386</v>
      </c>
      <c r="F61">
        <v>692936</v>
      </c>
      <c r="G61">
        <v>2000000</v>
      </c>
    </row>
    <row r="62" spans="1:7" x14ac:dyDescent="0.25">
      <c r="A62" s="5">
        <v>43580</v>
      </c>
      <c r="B62" s="4" t="s">
        <v>51</v>
      </c>
      <c r="C62" s="4" t="s">
        <v>52</v>
      </c>
      <c r="D62" s="4" t="s">
        <v>55</v>
      </c>
      <c r="E62">
        <v>481</v>
      </c>
      <c r="F62">
        <v>240279</v>
      </c>
      <c r="G62">
        <v>2000000</v>
      </c>
    </row>
    <row r="63" spans="1:7" x14ac:dyDescent="0.25">
      <c r="A63" s="5">
        <v>43580</v>
      </c>
      <c r="B63" s="4" t="s">
        <v>51</v>
      </c>
      <c r="C63" s="4" t="s">
        <v>52</v>
      </c>
      <c r="D63" s="4" t="s">
        <v>62</v>
      </c>
      <c r="E63">
        <v>675</v>
      </c>
      <c r="F63">
        <v>337628</v>
      </c>
      <c r="G63">
        <v>2000000</v>
      </c>
    </row>
    <row r="64" spans="1:7" x14ac:dyDescent="0.25">
      <c r="A64" s="5">
        <v>43581</v>
      </c>
      <c r="B64" s="4" t="s">
        <v>51</v>
      </c>
      <c r="C64" s="4" t="s">
        <v>52</v>
      </c>
      <c r="D64" s="4" t="s">
        <v>55</v>
      </c>
      <c r="E64">
        <v>157</v>
      </c>
      <c r="F64">
        <v>78444</v>
      </c>
      <c r="G64">
        <v>80000</v>
      </c>
    </row>
    <row r="65" spans="1:7" x14ac:dyDescent="0.25">
      <c r="A65" s="5">
        <v>43581</v>
      </c>
      <c r="B65" s="4" t="s">
        <v>51</v>
      </c>
      <c r="C65" s="4" t="s">
        <v>52</v>
      </c>
      <c r="D65" s="4" t="s">
        <v>55</v>
      </c>
      <c r="E65">
        <v>1239</v>
      </c>
      <c r="F65">
        <v>619300</v>
      </c>
      <c r="G65">
        <v>50000</v>
      </c>
    </row>
    <row r="66" spans="1:7" x14ac:dyDescent="0.25">
      <c r="A66" s="5">
        <v>43581</v>
      </c>
      <c r="B66" s="4" t="s">
        <v>51</v>
      </c>
      <c r="C66" s="4" t="s">
        <v>52</v>
      </c>
      <c r="D66" s="4" t="s">
        <v>62</v>
      </c>
      <c r="E66">
        <v>148</v>
      </c>
      <c r="F66">
        <v>73816</v>
      </c>
      <c r="G66">
        <v>20000</v>
      </c>
    </row>
    <row r="67" spans="1:7" x14ac:dyDescent="0.25">
      <c r="A67" s="5">
        <v>43582</v>
      </c>
      <c r="B67" s="4" t="s">
        <v>51</v>
      </c>
      <c r="C67" s="4" t="s">
        <v>52</v>
      </c>
      <c r="D67" s="4" t="s">
        <v>55</v>
      </c>
      <c r="E67">
        <v>31</v>
      </c>
      <c r="F67">
        <v>15275</v>
      </c>
      <c r="G67">
        <v>0</v>
      </c>
    </row>
    <row r="68" spans="1:7" x14ac:dyDescent="0.25">
      <c r="A68" s="5">
        <v>43582</v>
      </c>
      <c r="B68" s="4" t="s">
        <v>51</v>
      </c>
      <c r="C68" s="4" t="s">
        <v>52</v>
      </c>
      <c r="D68" s="4" t="s">
        <v>57</v>
      </c>
      <c r="E68">
        <v>77</v>
      </c>
      <c r="F68">
        <v>38700</v>
      </c>
      <c r="G68">
        <v>23700</v>
      </c>
    </row>
    <row r="69" spans="1:7" x14ac:dyDescent="0.25">
      <c r="A69" s="5">
        <v>43583</v>
      </c>
      <c r="B69" s="4" t="s">
        <v>51</v>
      </c>
      <c r="C69" s="4" t="s">
        <v>52</v>
      </c>
      <c r="D69" s="4" t="s">
        <v>54</v>
      </c>
      <c r="E69">
        <v>50</v>
      </c>
      <c r="F69">
        <v>25050</v>
      </c>
      <c r="G69">
        <v>0</v>
      </c>
    </row>
    <row r="70" spans="1:7" x14ac:dyDescent="0.25">
      <c r="A70" s="5">
        <v>43581</v>
      </c>
      <c r="B70" s="4" t="s">
        <v>51</v>
      </c>
      <c r="C70" s="4" t="s">
        <v>68</v>
      </c>
      <c r="D70" s="4" t="s">
        <v>65</v>
      </c>
      <c r="E70">
        <v>14</v>
      </c>
      <c r="F70">
        <v>7000</v>
      </c>
      <c r="G70">
        <v>0</v>
      </c>
    </row>
    <row r="71" spans="1:7" x14ac:dyDescent="0.25">
      <c r="A71" s="5">
        <v>43566</v>
      </c>
      <c r="B71" s="4" t="s">
        <v>51</v>
      </c>
      <c r="C71" s="4" t="s">
        <v>68</v>
      </c>
      <c r="D71" s="4" t="s">
        <v>69</v>
      </c>
      <c r="E71">
        <v>17</v>
      </c>
      <c r="F71">
        <v>8560</v>
      </c>
      <c r="G71">
        <v>0</v>
      </c>
    </row>
    <row r="72" spans="1:7" x14ac:dyDescent="0.25">
      <c r="A72" s="5">
        <v>43566</v>
      </c>
      <c r="B72" s="4" t="s">
        <v>51</v>
      </c>
      <c r="C72" s="4" t="s">
        <v>68</v>
      </c>
      <c r="D72" s="4" t="s">
        <v>56</v>
      </c>
      <c r="E72">
        <v>21</v>
      </c>
      <c r="F72">
        <v>10360</v>
      </c>
      <c r="G72">
        <v>10500</v>
      </c>
    </row>
    <row r="73" spans="1:7" x14ac:dyDescent="0.25">
      <c r="A73" s="5">
        <v>43581</v>
      </c>
      <c r="B73" s="4" t="s">
        <v>51</v>
      </c>
      <c r="C73" s="4" t="s">
        <v>68</v>
      </c>
      <c r="D73" s="4" t="s">
        <v>65</v>
      </c>
      <c r="E73">
        <v>26</v>
      </c>
      <c r="F73">
        <v>13030</v>
      </c>
      <c r="G73">
        <v>0</v>
      </c>
    </row>
    <row r="74" spans="1:7" x14ac:dyDescent="0.25">
      <c r="A74" s="5">
        <v>43581</v>
      </c>
      <c r="B74" s="4" t="s">
        <v>51</v>
      </c>
      <c r="C74" s="4" t="s">
        <v>68</v>
      </c>
      <c r="D74" s="4" t="s">
        <v>61</v>
      </c>
      <c r="E74">
        <v>26</v>
      </c>
      <c r="F74">
        <v>12930</v>
      </c>
      <c r="G74">
        <v>0</v>
      </c>
    </row>
    <row r="75" spans="1:7" x14ac:dyDescent="0.25">
      <c r="A75" s="5">
        <v>43581</v>
      </c>
      <c r="B75" s="4" t="s">
        <v>51</v>
      </c>
      <c r="C75" s="4" t="s">
        <v>68</v>
      </c>
      <c r="D75" s="4" t="s">
        <v>67</v>
      </c>
      <c r="E75">
        <v>28</v>
      </c>
      <c r="F75">
        <v>13900</v>
      </c>
      <c r="G75">
        <v>0</v>
      </c>
    </row>
    <row r="76" spans="1:7" x14ac:dyDescent="0.25">
      <c r="A76" s="5">
        <v>43581</v>
      </c>
      <c r="B76" s="4" t="s">
        <v>51</v>
      </c>
      <c r="C76" s="4" t="s">
        <v>68</v>
      </c>
      <c r="D76" s="4" t="s">
        <v>66</v>
      </c>
      <c r="E76">
        <v>31</v>
      </c>
      <c r="F76">
        <v>15480</v>
      </c>
      <c r="G76">
        <v>0</v>
      </c>
    </row>
    <row r="77" spans="1:7" x14ac:dyDescent="0.25">
      <c r="A77" s="5">
        <v>43581</v>
      </c>
      <c r="B77" s="4" t="s">
        <v>51</v>
      </c>
      <c r="C77" s="4" t="s">
        <v>68</v>
      </c>
      <c r="D77" s="4" t="s">
        <v>56</v>
      </c>
      <c r="E77">
        <v>44</v>
      </c>
      <c r="F77">
        <v>21930</v>
      </c>
      <c r="G77">
        <v>0</v>
      </c>
    </row>
    <row r="78" spans="1:7" x14ac:dyDescent="0.25">
      <c r="A78" s="5">
        <v>43581</v>
      </c>
      <c r="B78" s="4" t="s">
        <v>51</v>
      </c>
      <c r="C78" s="4" t="s">
        <v>68</v>
      </c>
      <c r="D78" s="4" t="s">
        <v>65</v>
      </c>
      <c r="E78">
        <v>47</v>
      </c>
      <c r="F78">
        <v>23320</v>
      </c>
      <c r="G78">
        <v>0</v>
      </c>
    </row>
    <row r="79" spans="1:7" x14ac:dyDescent="0.25">
      <c r="A79" s="5">
        <v>43566</v>
      </c>
      <c r="B79" s="4" t="s">
        <v>51</v>
      </c>
      <c r="C79" s="4" t="s">
        <v>68</v>
      </c>
      <c r="D79" s="4" t="s">
        <v>59</v>
      </c>
      <c r="E79">
        <v>50</v>
      </c>
      <c r="F79">
        <v>24960</v>
      </c>
      <c r="G79">
        <v>25000</v>
      </c>
    </row>
    <row r="80" spans="1:7" x14ac:dyDescent="0.25">
      <c r="A80" s="5">
        <v>43581</v>
      </c>
      <c r="B80" s="4" t="s">
        <v>51</v>
      </c>
      <c r="C80" s="4" t="s">
        <v>68</v>
      </c>
      <c r="D80" s="4" t="s">
        <v>65</v>
      </c>
      <c r="E80">
        <v>58</v>
      </c>
      <c r="F80">
        <v>29130</v>
      </c>
      <c r="G80">
        <v>0</v>
      </c>
    </row>
    <row r="81" spans="1:7" x14ac:dyDescent="0.25">
      <c r="A81" s="5">
        <v>43573</v>
      </c>
      <c r="B81" s="4" t="s">
        <v>51</v>
      </c>
      <c r="C81" s="4" t="s">
        <v>68</v>
      </c>
      <c r="D81" s="4" t="s">
        <v>61</v>
      </c>
      <c r="E81">
        <v>68</v>
      </c>
      <c r="F81">
        <v>34150</v>
      </c>
      <c r="G81">
        <v>0</v>
      </c>
    </row>
    <row r="82" spans="1:7" x14ac:dyDescent="0.25">
      <c r="A82" s="5">
        <v>43573</v>
      </c>
      <c r="B82" s="4" t="s">
        <v>51</v>
      </c>
      <c r="C82" s="4" t="s">
        <v>68</v>
      </c>
      <c r="D82" s="4" t="s">
        <v>56</v>
      </c>
      <c r="E82">
        <v>70</v>
      </c>
      <c r="F82">
        <v>34980</v>
      </c>
      <c r="G82">
        <v>71900</v>
      </c>
    </row>
    <row r="83" spans="1:7" x14ac:dyDescent="0.25">
      <c r="A83" s="5">
        <v>43581</v>
      </c>
      <c r="B83" s="4" t="s">
        <v>51</v>
      </c>
      <c r="C83" s="4" t="s">
        <v>68</v>
      </c>
      <c r="D83" s="4" t="s">
        <v>61</v>
      </c>
      <c r="E83">
        <v>70</v>
      </c>
      <c r="F83">
        <v>34770</v>
      </c>
      <c r="G83">
        <v>0</v>
      </c>
    </row>
    <row r="84" spans="1:7" x14ac:dyDescent="0.25">
      <c r="A84" s="5">
        <v>43559</v>
      </c>
      <c r="B84" s="4" t="s">
        <v>51</v>
      </c>
      <c r="C84" s="4" t="s">
        <v>68</v>
      </c>
      <c r="D84" s="4" t="s">
        <v>59</v>
      </c>
      <c r="E84">
        <v>71</v>
      </c>
      <c r="F84">
        <v>35620</v>
      </c>
      <c r="G84">
        <v>50000</v>
      </c>
    </row>
    <row r="85" spans="1:7" x14ac:dyDescent="0.25">
      <c r="A85" s="5">
        <v>43573</v>
      </c>
      <c r="B85" s="4" t="s">
        <v>51</v>
      </c>
      <c r="C85" s="4" t="s">
        <v>68</v>
      </c>
      <c r="D85" s="4" t="s">
        <v>56</v>
      </c>
      <c r="E85">
        <v>71</v>
      </c>
      <c r="F85">
        <v>35640</v>
      </c>
      <c r="G85">
        <v>99500</v>
      </c>
    </row>
    <row r="86" spans="1:7" x14ac:dyDescent="0.25">
      <c r="A86" s="5">
        <v>43573</v>
      </c>
      <c r="B86" s="4" t="s">
        <v>51</v>
      </c>
      <c r="C86" s="4" t="s">
        <v>68</v>
      </c>
      <c r="D86" s="4" t="s">
        <v>70</v>
      </c>
      <c r="E86">
        <v>72</v>
      </c>
      <c r="F86">
        <v>36070</v>
      </c>
      <c r="G86">
        <v>12000</v>
      </c>
    </row>
    <row r="87" spans="1:7" x14ac:dyDescent="0.25">
      <c r="A87" s="5">
        <v>43581</v>
      </c>
      <c r="B87" s="4" t="s">
        <v>51</v>
      </c>
      <c r="C87" s="4" t="s">
        <v>68</v>
      </c>
      <c r="D87" s="4" t="s">
        <v>63</v>
      </c>
      <c r="E87">
        <v>76</v>
      </c>
      <c r="F87">
        <v>37780</v>
      </c>
      <c r="G87">
        <v>0</v>
      </c>
    </row>
    <row r="88" spans="1:7" x14ac:dyDescent="0.25">
      <c r="A88" s="5">
        <v>43573</v>
      </c>
      <c r="B88" s="4" t="s">
        <v>51</v>
      </c>
      <c r="C88" s="4" t="s">
        <v>68</v>
      </c>
      <c r="D88" s="4" t="s">
        <v>61</v>
      </c>
      <c r="E88">
        <v>84</v>
      </c>
      <c r="F88">
        <v>42240</v>
      </c>
      <c r="G88">
        <v>0</v>
      </c>
    </row>
    <row r="89" spans="1:7" x14ac:dyDescent="0.25">
      <c r="A89" s="5">
        <v>43566</v>
      </c>
      <c r="B89" s="4" t="s">
        <v>51</v>
      </c>
      <c r="C89" s="4" t="s">
        <v>68</v>
      </c>
      <c r="D89" s="4" t="s">
        <v>61</v>
      </c>
      <c r="E89">
        <v>88</v>
      </c>
      <c r="F89">
        <v>44150</v>
      </c>
      <c r="G89">
        <v>100000</v>
      </c>
    </row>
    <row r="90" spans="1:7" x14ac:dyDescent="0.25">
      <c r="A90" s="5">
        <v>43573</v>
      </c>
      <c r="B90" s="4" t="s">
        <v>51</v>
      </c>
      <c r="C90" s="4" t="s">
        <v>68</v>
      </c>
      <c r="D90" s="4" t="s">
        <v>69</v>
      </c>
      <c r="E90">
        <v>93</v>
      </c>
      <c r="F90">
        <v>46350</v>
      </c>
      <c r="G90">
        <v>34500</v>
      </c>
    </row>
    <row r="91" spans="1:7" x14ac:dyDescent="0.25">
      <c r="A91" s="5">
        <v>43573</v>
      </c>
      <c r="B91" s="4" t="s">
        <v>51</v>
      </c>
      <c r="C91" s="4" t="s">
        <v>68</v>
      </c>
      <c r="D91" s="4" t="s">
        <v>59</v>
      </c>
      <c r="E91">
        <v>96</v>
      </c>
      <c r="F91">
        <v>47870</v>
      </c>
      <c r="G91">
        <v>0</v>
      </c>
    </row>
    <row r="92" spans="1:7" x14ac:dyDescent="0.25">
      <c r="A92" s="5">
        <v>43559</v>
      </c>
      <c r="B92" s="4" t="s">
        <v>51</v>
      </c>
      <c r="C92" s="4" t="s">
        <v>68</v>
      </c>
      <c r="D92" s="4" t="s">
        <v>59</v>
      </c>
      <c r="E92">
        <v>99</v>
      </c>
      <c r="F92">
        <v>49330</v>
      </c>
      <c r="G92">
        <v>51910</v>
      </c>
    </row>
    <row r="93" spans="1:7" x14ac:dyDescent="0.25">
      <c r="A93" s="5">
        <v>43581</v>
      </c>
      <c r="B93" s="4" t="s">
        <v>51</v>
      </c>
      <c r="C93" s="4" t="s">
        <v>68</v>
      </c>
      <c r="D93" s="4" t="s">
        <v>67</v>
      </c>
      <c r="E93">
        <v>104</v>
      </c>
      <c r="F93">
        <v>51910</v>
      </c>
      <c r="G93">
        <v>0</v>
      </c>
    </row>
    <row r="94" spans="1:7" x14ac:dyDescent="0.25">
      <c r="A94" s="5">
        <v>43566</v>
      </c>
      <c r="B94" s="4" t="s">
        <v>51</v>
      </c>
      <c r="C94" s="4" t="s">
        <v>68</v>
      </c>
      <c r="D94" s="4" t="s">
        <v>55</v>
      </c>
      <c r="E94">
        <v>108</v>
      </c>
      <c r="F94">
        <v>54140</v>
      </c>
      <c r="G94">
        <v>0</v>
      </c>
    </row>
    <row r="95" spans="1:7" x14ac:dyDescent="0.25">
      <c r="A95" s="5">
        <v>43573</v>
      </c>
      <c r="B95" s="4" t="s">
        <v>51</v>
      </c>
      <c r="C95" s="4" t="s">
        <v>68</v>
      </c>
      <c r="D95" s="4" t="s">
        <v>54</v>
      </c>
      <c r="E95">
        <v>111</v>
      </c>
      <c r="F95">
        <v>55730</v>
      </c>
      <c r="G95">
        <v>89520</v>
      </c>
    </row>
    <row r="96" spans="1:7" x14ac:dyDescent="0.25">
      <c r="A96" s="5">
        <v>43573</v>
      </c>
      <c r="B96" s="4" t="s">
        <v>51</v>
      </c>
      <c r="C96" s="4" t="s">
        <v>68</v>
      </c>
      <c r="D96" s="4" t="s">
        <v>63</v>
      </c>
      <c r="E96">
        <v>116</v>
      </c>
      <c r="F96">
        <v>58200</v>
      </c>
      <c r="G96">
        <v>0</v>
      </c>
    </row>
    <row r="97" spans="1:7" x14ac:dyDescent="0.25">
      <c r="A97" s="5">
        <v>43573</v>
      </c>
      <c r="B97" s="4" t="s">
        <v>51</v>
      </c>
      <c r="C97" s="4" t="s">
        <v>68</v>
      </c>
      <c r="D97" s="4" t="s">
        <v>65</v>
      </c>
      <c r="E97">
        <v>117</v>
      </c>
      <c r="F97">
        <v>58730</v>
      </c>
      <c r="G97">
        <v>0</v>
      </c>
    </row>
    <row r="98" spans="1:7" x14ac:dyDescent="0.25">
      <c r="A98" s="5">
        <v>43581</v>
      </c>
      <c r="B98" s="4" t="s">
        <v>51</v>
      </c>
      <c r="C98" s="4" t="s">
        <v>68</v>
      </c>
      <c r="D98" s="4" t="s">
        <v>58</v>
      </c>
      <c r="E98">
        <v>121</v>
      </c>
      <c r="F98">
        <v>60480</v>
      </c>
      <c r="G98">
        <v>0</v>
      </c>
    </row>
    <row r="99" spans="1:7" x14ac:dyDescent="0.25">
      <c r="A99" s="5">
        <v>43559</v>
      </c>
      <c r="B99" s="4" t="s">
        <v>51</v>
      </c>
      <c r="C99" s="4" t="s">
        <v>68</v>
      </c>
      <c r="D99" s="4" t="s">
        <v>57</v>
      </c>
      <c r="E99">
        <v>123</v>
      </c>
      <c r="F99">
        <v>61500</v>
      </c>
      <c r="G99">
        <v>110000</v>
      </c>
    </row>
    <row r="100" spans="1:7" x14ac:dyDescent="0.25">
      <c r="A100" s="5">
        <v>43581</v>
      </c>
      <c r="B100" s="4" t="s">
        <v>51</v>
      </c>
      <c r="C100" s="4" t="s">
        <v>68</v>
      </c>
      <c r="D100" s="4" t="s">
        <v>62</v>
      </c>
      <c r="E100">
        <v>127</v>
      </c>
      <c r="F100">
        <v>63700</v>
      </c>
      <c r="G100">
        <v>0</v>
      </c>
    </row>
    <row r="101" spans="1:7" x14ac:dyDescent="0.25">
      <c r="A101" s="5">
        <v>43573</v>
      </c>
      <c r="B101" s="4" t="s">
        <v>51</v>
      </c>
      <c r="C101" s="4" t="s">
        <v>68</v>
      </c>
      <c r="D101" s="4" t="s">
        <v>56</v>
      </c>
      <c r="E101">
        <v>133</v>
      </c>
      <c r="F101">
        <v>66460</v>
      </c>
      <c r="G101">
        <v>4460</v>
      </c>
    </row>
    <row r="102" spans="1:7" x14ac:dyDescent="0.25">
      <c r="A102" s="5">
        <v>43566</v>
      </c>
      <c r="B102" s="4" t="s">
        <v>51</v>
      </c>
      <c r="C102" s="4" t="s">
        <v>68</v>
      </c>
      <c r="D102" s="4" t="s">
        <v>58</v>
      </c>
      <c r="E102">
        <v>135</v>
      </c>
      <c r="F102">
        <v>67530</v>
      </c>
      <c r="G102">
        <v>100000</v>
      </c>
    </row>
    <row r="103" spans="1:7" x14ac:dyDescent="0.25">
      <c r="A103" s="5">
        <v>43581</v>
      </c>
      <c r="B103" s="4" t="s">
        <v>51</v>
      </c>
      <c r="C103" s="4" t="s">
        <v>68</v>
      </c>
      <c r="D103" s="4" t="s">
        <v>55</v>
      </c>
      <c r="E103">
        <v>139</v>
      </c>
      <c r="F103">
        <v>69660</v>
      </c>
      <c r="G103">
        <v>0</v>
      </c>
    </row>
    <row r="104" spans="1:7" x14ac:dyDescent="0.25">
      <c r="A104" s="5">
        <v>43566</v>
      </c>
      <c r="B104" s="4" t="s">
        <v>51</v>
      </c>
      <c r="C104" s="4" t="s">
        <v>68</v>
      </c>
      <c r="D104" s="4" t="s">
        <v>71</v>
      </c>
      <c r="E104">
        <v>147</v>
      </c>
      <c r="F104">
        <v>73660</v>
      </c>
      <c r="G104">
        <v>89000</v>
      </c>
    </row>
    <row r="105" spans="1:7" x14ac:dyDescent="0.25">
      <c r="A105" s="5">
        <v>43566</v>
      </c>
      <c r="B105" s="4" t="s">
        <v>51</v>
      </c>
      <c r="C105" s="4" t="s">
        <v>68</v>
      </c>
      <c r="D105" s="4" t="s">
        <v>61</v>
      </c>
      <c r="E105">
        <v>153</v>
      </c>
      <c r="F105">
        <v>76580</v>
      </c>
      <c r="G105">
        <v>0</v>
      </c>
    </row>
    <row r="106" spans="1:7" x14ac:dyDescent="0.25">
      <c r="A106" s="5">
        <v>43566</v>
      </c>
      <c r="B106" s="4" t="s">
        <v>51</v>
      </c>
      <c r="C106" s="4" t="s">
        <v>68</v>
      </c>
      <c r="D106" s="4" t="s">
        <v>65</v>
      </c>
      <c r="E106">
        <v>154</v>
      </c>
      <c r="F106">
        <v>77140</v>
      </c>
      <c r="G106">
        <v>25500</v>
      </c>
    </row>
    <row r="107" spans="1:7" x14ac:dyDescent="0.25">
      <c r="A107" s="5">
        <v>43559</v>
      </c>
      <c r="B107" s="4" t="s">
        <v>51</v>
      </c>
      <c r="C107" s="4" t="s">
        <v>68</v>
      </c>
      <c r="D107" s="4" t="s">
        <v>65</v>
      </c>
      <c r="E107">
        <v>158</v>
      </c>
      <c r="F107">
        <v>79230</v>
      </c>
      <c r="G107">
        <v>50000</v>
      </c>
    </row>
    <row r="108" spans="1:7" x14ac:dyDescent="0.25">
      <c r="A108" s="5">
        <v>43573</v>
      </c>
      <c r="B108" s="4" t="s">
        <v>51</v>
      </c>
      <c r="C108" s="4" t="s">
        <v>68</v>
      </c>
      <c r="D108" s="4" t="s">
        <v>55</v>
      </c>
      <c r="E108">
        <v>174</v>
      </c>
      <c r="F108">
        <v>87160</v>
      </c>
      <c r="G108">
        <v>83430</v>
      </c>
    </row>
    <row r="109" spans="1:7" x14ac:dyDescent="0.25">
      <c r="A109" s="5">
        <v>43559</v>
      </c>
      <c r="B109" s="4" t="s">
        <v>51</v>
      </c>
      <c r="C109" s="4" t="s">
        <v>68</v>
      </c>
      <c r="D109" s="4" t="s">
        <v>54</v>
      </c>
      <c r="E109">
        <v>179</v>
      </c>
      <c r="F109">
        <v>89630</v>
      </c>
      <c r="G109">
        <v>100000</v>
      </c>
    </row>
    <row r="110" spans="1:7" x14ac:dyDescent="0.25">
      <c r="A110" s="5">
        <v>43566</v>
      </c>
      <c r="B110" s="4" t="s">
        <v>51</v>
      </c>
      <c r="C110" s="4" t="s">
        <v>68</v>
      </c>
      <c r="D110" s="4" t="s">
        <v>56</v>
      </c>
      <c r="E110">
        <v>202</v>
      </c>
      <c r="F110">
        <v>100830</v>
      </c>
      <c r="G110">
        <v>130000</v>
      </c>
    </row>
    <row r="111" spans="1:7" x14ac:dyDescent="0.25">
      <c r="A111" s="5">
        <v>43581</v>
      </c>
      <c r="B111" s="4" t="s">
        <v>51</v>
      </c>
      <c r="C111" s="4" t="s">
        <v>68</v>
      </c>
      <c r="D111" s="4" t="s">
        <v>59</v>
      </c>
      <c r="E111">
        <v>212</v>
      </c>
      <c r="F111">
        <v>105960</v>
      </c>
      <c r="G111">
        <v>0</v>
      </c>
    </row>
    <row r="112" spans="1:7" x14ac:dyDescent="0.25">
      <c r="A112" s="5">
        <v>43559</v>
      </c>
      <c r="B112" s="4" t="s">
        <v>51</v>
      </c>
      <c r="C112" s="4" t="s">
        <v>68</v>
      </c>
      <c r="D112" s="4" t="s">
        <v>64</v>
      </c>
      <c r="E112">
        <v>219</v>
      </c>
      <c r="F112">
        <v>109600</v>
      </c>
      <c r="G112">
        <v>0</v>
      </c>
    </row>
    <row r="113" spans="1:7" x14ac:dyDescent="0.25">
      <c r="A113" s="5">
        <v>43581</v>
      </c>
      <c r="B113" s="4" t="s">
        <v>51</v>
      </c>
      <c r="C113" s="4" t="s">
        <v>68</v>
      </c>
      <c r="D113" s="4" t="s">
        <v>61</v>
      </c>
      <c r="E113">
        <v>221</v>
      </c>
      <c r="F113">
        <v>110360</v>
      </c>
      <c r="G113">
        <v>0</v>
      </c>
    </row>
    <row r="114" spans="1:7" x14ac:dyDescent="0.25">
      <c r="A114" s="5">
        <v>43573</v>
      </c>
      <c r="B114" s="4" t="s">
        <v>51</v>
      </c>
      <c r="C114" s="4" t="s">
        <v>68</v>
      </c>
      <c r="D114" s="4" t="s">
        <v>54</v>
      </c>
      <c r="E114">
        <v>226</v>
      </c>
      <c r="F114">
        <v>113010</v>
      </c>
      <c r="G114">
        <v>100000</v>
      </c>
    </row>
    <row r="115" spans="1:7" x14ac:dyDescent="0.25">
      <c r="A115" s="5">
        <v>43566</v>
      </c>
      <c r="B115" s="4" t="s">
        <v>51</v>
      </c>
      <c r="C115" s="4" t="s">
        <v>68</v>
      </c>
      <c r="D115" s="4" t="s">
        <v>70</v>
      </c>
      <c r="E115">
        <v>231</v>
      </c>
      <c r="F115">
        <v>115410</v>
      </c>
      <c r="G115">
        <v>130000</v>
      </c>
    </row>
    <row r="116" spans="1:7" x14ac:dyDescent="0.25">
      <c r="A116" s="5">
        <v>43573</v>
      </c>
      <c r="B116" s="4" t="s">
        <v>51</v>
      </c>
      <c r="C116" s="4" t="s">
        <v>68</v>
      </c>
      <c r="D116" s="4" t="s">
        <v>60</v>
      </c>
      <c r="E116">
        <v>236</v>
      </c>
      <c r="F116">
        <v>118240</v>
      </c>
      <c r="G116">
        <v>0</v>
      </c>
    </row>
    <row r="117" spans="1:7" x14ac:dyDescent="0.25">
      <c r="A117" s="5">
        <v>43566</v>
      </c>
      <c r="B117" s="4" t="s">
        <v>51</v>
      </c>
      <c r="C117" s="4" t="s">
        <v>68</v>
      </c>
      <c r="D117" s="4" t="s">
        <v>61</v>
      </c>
      <c r="E117">
        <v>247</v>
      </c>
      <c r="F117">
        <v>123720</v>
      </c>
      <c r="G117">
        <v>100000</v>
      </c>
    </row>
    <row r="118" spans="1:7" x14ac:dyDescent="0.25">
      <c r="A118" s="5">
        <v>43566</v>
      </c>
      <c r="B118" s="4" t="s">
        <v>51</v>
      </c>
      <c r="C118" s="4" t="s">
        <v>68</v>
      </c>
      <c r="D118" s="4" t="s">
        <v>53</v>
      </c>
      <c r="E118">
        <v>248</v>
      </c>
      <c r="F118">
        <v>124030</v>
      </c>
      <c r="G118">
        <v>180000</v>
      </c>
    </row>
    <row r="119" spans="1:7" x14ac:dyDescent="0.25">
      <c r="A119" s="5">
        <v>43566</v>
      </c>
      <c r="B119" s="4" t="s">
        <v>51</v>
      </c>
      <c r="C119" s="4" t="s">
        <v>68</v>
      </c>
      <c r="D119" s="4" t="s">
        <v>55</v>
      </c>
      <c r="E119">
        <v>249</v>
      </c>
      <c r="F119">
        <v>124360</v>
      </c>
      <c r="G119">
        <v>50000</v>
      </c>
    </row>
    <row r="120" spans="1:7" x14ac:dyDescent="0.25">
      <c r="A120" s="5">
        <v>43559</v>
      </c>
      <c r="B120" s="4" t="s">
        <v>51</v>
      </c>
      <c r="C120" s="4" t="s">
        <v>68</v>
      </c>
      <c r="D120" s="4" t="s">
        <v>66</v>
      </c>
      <c r="E120">
        <v>255</v>
      </c>
      <c r="F120">
        <v>127300</v>
      </c>
      <c r="G120">
        <v>0</v>
      </c>
    </row>
    <row r="121" spans="1:7" x14ac:dyDescent="0.25">
      <c r="A121" s="5">
        <v>43559</v>
      </c>
      <c r="B121" s="4" t="s">
        <v>51</v>
      </c>
      <c r="C121" s="4" t="s">
        <v>68</v>
      </c>
      <c r="D121" s="4" t="s">
        <v>61</v>
      </c>
      <c r="E121">
        <v>256</v>
      </c>
      <c r="F121">
        <v>128070</v>
      </c>
      <c r="G121">
        <v>25000</v>
      </c>
    </row>
    <row r="122" spans="1:7" x14ac:dyDescent="0.25">
      <c r="A122" s="5">
        <v>43566</v>
      </c>
      <c r="B122" s="4" t="s">
        <v>51</v>
      </c>
      <c r="C122" s="4" t="s">
        <v>68</v>
      </c>
      <c r="D122" s="4" t="s">
        <v>62</v>
      </c>
      <c r="E122">
        <v>263</v>
      </c>
      <c r="F122">
        <v>131720</v>
      </c>
      <c r="G122">
        <v>0</v>
      </c>
    </row>
    <row r="123" spans="1:7" x14ac:dyDescent="0.25">
      <c r="A123" s="5">
        <v>43566</v>
      </c>
      <c r="B123" s="4" t="s">
        <v>51</v>
      </c>
      <c r="C123" s="4" t="s">
        <v>68</v>
      </c>
      <c r="D123" s="4" t="s">
        <v>63</v>
      </c>
      <c r="E123">
        <v>265</v>
      </c>
      <c r="F123">
        <v>132410</v>
      </c>
      <c r="G123">
        <v>0</v>
      </c>
    </row>
    <row r="124" spans="1:7" x14ac:dyDescent="0.25">
      <c r="A124" s="5">
        <v>43559</v>
      </c>
      <c r="B124" s="4" t="s">
        <v>51</v>
      </c>
      <c r="C124" s="4" t="s">
        <v>68</v>
      </c>
      <c r="D124" s="4" t="s">
        <v>54</v>
      </c>
      <c r="E124">
        <v>273</v>
      </c>
      <c r="F124">
        <v>136550</v>
      </c>
      <c r="G124">
        <v>269000</v>
      </c>
    </row>
    <row r="125" spans="1:7" x14ac:dyDescent="0.25">
      <c r="A125" s="5">
        <v>43559</v>
      </c>
      <c r="B125" s="4" t="s">
        <v>51</v>
      </c>
      <c r="C125" s="4" t="s">
        <v>68</v>
      </c>
      <c r="D125" s="4" t="s">
        <v>56</v>
      </c>
      <c r="E125">
        <v>288</v>
      </c>
      <c r="F125">
        <v>144200</v>
      </c>
      <c r="G125">
        <v>30000</v>
      </c>
    </row>
    <row r="126" spans="1:7" x14ac:dyDescent="0.25">
      <c r="A126" s="5">
        <v>43581</v>
      </c>
      <c r="B126" s="4" t="s">
        <v>51</v>
      </c>
      <c r="C126" s="4" t="s">
        <v>68</v>
      </c>
      <c r="D126" s="4" t="s">
        <v>54</v>
      </c>
      <c r="E126">
        <v>293</v>
      </c>
      <c r="F126">
        <v>146455</v>
      </c>
      <c r="G126">
        <v>0</v>
      </c>
    </row>
    <row r="127" spans="1:7" x14ac:dyDescent="0.25">
      <c r="A127" s="5">
        <v>43559</v>
      </c>
      <c r="B127" s="4" t="s">
        <v>51</v>
      </c>
      <c r="C127" s="4" t="s">
        <v>68</v>
      </c>
      <c r="D127" s="4" t="s">
        <v>61</v>
      </c>
      <c r="E127">
        <v>314</v>
      </c>
      <c r="F127">
        <v>156840</v>
      </c>
      <c r="G127">
        <v>50000</v>
      </c>
    </row>
    <row r="128" spans="1:7" x14ac:dyDescent="0.25">
      <c r="A128" s="5">
        <v>43573</v>
      </c>
      <c r="B128" s="4" t="s">
        <v>51</v>
      </c>
      <c r="C128" s="4" t="s">
        <v>68</v>
      </c>
      <c r="D128" s="4" t="s">
        <v>57</v>
      </c>
      <c r="E128">
        <v>321</v>
      </c>
      <c r="F128">
        <v>160650</v>
      </c>
      <c r="G128">
        <v>151500</v>
      </c>
    </row>
    <row r="129" spans="1:7" x14ac:dyDescent="0.25">
      <c r="A129" s="5">
        <v>43573</v>
      </c>
      <c r="B129" s="4" t="s">
        <v>51</v>
      </c>
      <c r="C129" s="4" t="s">
        <v>68</v>
      </c>
      <c r="D129" s="4" t="s">
        <v>57</v>
      </c>
      <c r="E129">
        <v>326</v>
      </c>
      <c r="F129">
        <v>162950</v>
      </c>
      <c r="G129">
        <v>90000</v>
      </c>
    </row>
    <row r="130" spans="1:7" x14ac:dyDescent="0.25">
      <c r="A130" s="5">
        <v>43581</v>
      </c>
      <c r="B130" s="4" t="s">
        <v>51</v>
      </c>
      <c r="C130" s="4" t="s">
        <v>68</v>
      </c>
      <c r="D130" s="4" t="s">
        <v>69</v>
      </c>
      <c r="E130">
        <v>327</v>
      </c>
      <c r="F130">
        <v>163490</v>
      </c>
      <c r="G130">
        <v>0</v>
      </c>
    </row>
    <row r="131" spans="1:7" x14ac:dyDescent="0.25">
      <c r="A131" s="5">
        <v>43573</v>
      </c>
      <c r="B131" s="4" t="s">
        <v>51</v>
      </c>
      <c r="C131" s="4" t="s">
        <v>68</v>
      </c>
      <c r="D131" s="4" t="s">
        <v>54</v>
      </c>
      <c r="E131">
        <v>334</v>
      </c>
      <c r="F131">
        <v>167250</v>
      </c>
      <c r="G131">
        <v>150000</v>
      </c>
    </row>
    <row r="132" spans="1:7" x14ac:dyDescent="0.25">
      <c r="A132" s="5">
        <v>43573</v>
      </c>
      <c r="B132" s="4" t="s">
        <v>51</v>
      </c>
      <c r="C132" s="4" t="s">
        <v>68</v>
      </c>
      <c r="D132" s="4" t="s">
        <v>58</v>
      </c>
      <c r="E132">
        <v>357</v>
      </c>
      <c r="F132">
        <v>178490</v>
      </c>
      <c r="G132">
        <v>0</v>
      </c>
    </row>
    <row r="133" spans="1:7" x14ac:dyDescent="0.25">
      <c r="A133" s="5">
        <v>43573</v>
      </c>
      <c r="B133" s="4" t="s">
        <v>51</v>
      </c>
      <c r="C133" s="4" t="s">
        <v>68</v>
      </c>
      <c r="D133" s="4" t="s">
        <v>54</v>
      </c>
      <c r="E133">
        <v>382</v>
      </c>
      <c r="F133">
        <v>191095</v>
      </c>
      <c r="G133">
        <v>213000</v>
      </c>
    </row>
    <row r="134" spans="1:7" x14ac:dyDescent="0.25">
      <c r="A134" s="5">
        <v>43566</v>
      </c>
      <c r="B134" s="4" t="s">
        <v>51</v>
      </c>
      <c r="C134" s="4" t="s">
        <v>68</v>
      </c>
      <c r="D134" s="4" t="s">
        <v>57</v>
      </c>
      <c r="E134">
        <v>390</v>
      </c>
      <c r="F134">
        <v>195220</v>
      </c>
      <c r="G134">
        <v>50000</v>
      </c>
    </row>
    <row r="135" spans="1:7" x14ac:dyDescent="0.25">
      <c r="A135" s="5">
        <v>43559</v>
      </c>
      <c r="B135" s="4" t="s">
        <v>51</v>
      </c>
      <c r="C135" s="4" t="s">
        <v>68</v>
      </c>
      <c r="D135" s="4" t="s">
        <v>55</v>
      </c>
      <c r="E135">
        <v>420</v>
      </c>
      <c r="F135">
        <v>209770</v>
      </c>
      <c r="G135">
        <v>0</v>
      </c>
    </row>
    <row r="136" spans="1:7" x14ac:dyDescent="0.25">
      <c r="A136" s="5">
        <v>43581</v>
      </c>
      <c r="B136" s="4" t="s">
        <v>51</v>
      </c>
      <c r="C136" s="4" t="s">
        <v>68</v>
      </c>
      <c r="D136" s="4" t="s">
        <v>63</v>
      </c>
      <c r="E136">
        <v>426</v>
      </c>
      <c r="F136">
        <v>213220</v>
      </c>
      <c r="G136">
        <v>0</v>
      </c>
    </row>
    <row r="137" spans="1:7" x14ac:dyDescent="0.25">
      <c r="A137" s="5">
        <v>43566</v>
      </c>
      <c r="B137" s="4" t="s">
        <v>51</v>
      </c>
      <c r="C137" s="4" t="s">
        <v>68</v>
      </c>
      <c r="D137" s="4" t="s">
        <v>70</v>
      </c>
      <c r="E137">
        <v>442</v>
      </c>
      <c r="F137">
        <v>221240</v>
      </c>
      <c r="G137">
        <v>22790</v>
      </c>
    </row>
    <row r="138" spans="1:7" x14ac:dyDescent="0.25">
      <c r="A138" s="5">
        <v>43566</v>
      </c>
      <c r="B138" s="4" t="s">
        <v>51</v>
      </c>
      <c r="C138" s="4" t="s">
        <v>68</v>
      </c>
      <c r="D138" s="4" t="s">
        <v>61</v>
      </c>
      <c r="E138">
        <v>445</v>
      </c>
      <c r="F138">
        <v>222440</v>
      </c>
      <c r="G138">
        <v>100000</v>
      </c>
    </row>
    <row r="139" spans="1:7" x14ac:dyDescent="0.25">
      <c r="A139" s="5">
        <v>43581</v>
      </c>
      <c r="B139" s="4" t="s">
        <v>51</v>
      </c>
      <c r="C139" s="4" t="s">
        <v>68</v>
      </c>
      <c r="D139" s="4" t="s">
        <v>61</v>
      </c>
      <c r="E139">
        <v>455</v>
      </c>
      <c r="F139">
        <v>227550</v>
      </c>
      <c r="G139">
        <v>0</v>
      </c>
    </row>
    <row r="140" spans="1:7" x14ac:dyDescent="0.25">
      <c r="A140" s="5">
        <v>43559</v>
      </c>
      <c r="B140" s="4" t="s">
        <v>51</v>
      </c>
      <c r="C140" s="4" t="s">
        <v>68</v>
      </c>
      <c r="D140" s="4" t="s">
        <v>56</v>
      </c>
      <c r="E140">
        <v>457</v>
      </c>
      <c r="F140">
        <v>228680</v>
      </c>
      <c r="G140">
        <v>93000</v>
      </c>
    </row>
    <row r="141" spans="1:7" x14ac:dyDescent="0.25">
      <c r="A141" s="5">
        <v>43566</v>
      </c>
      <c r="B141" s="4" t="s">
        <v>51</v>
      </c>
      <c r="C141" s="4" t="s">
        <v>68</v>
      </c>
      <c r="D141" s="4" t="s">
        <v>56</v>
      </c>
      <c r="E141">
        <v>458</v>
      </c>
      <c r="F141">
        <v>228800</v>
      </c>
      <c r="G141">
        <v>30000</v>
      </c>
    </row>
    <row r="142" spans="1:7" x14ac:dyDescent="0.25">
      <c r="A142" s="5">
        <v>43581</v>
      </c>
      <c r="B142" s="4" t="s">
        <v>51</v>
      </c>
      <c r="C142" s="4" t="s">
        <v>68</v>
      </c>
      <c r="D142" s="4" t="s">
        <v>57</v>
      </c>
      <c r="E142">
        <v>495</v>
      </c>
      <c r="F142">
        <v>247650</v>
      </c>
      <c r="G142">
        <v>0</v>
      </c>
    </row>
    <row r="143" spans="1:7" x14ac:dyDescent="0.25">
      <c r="A143" s="5">
        <v>43581</v>
      </c>
      <c r="B143" s="4" t="s">
        <v>51</v>
      </c>
      <c r="C143" s="4" t="s">
        <v>68</v>
      </c>
      <c r="D143" s="4" t="s">
        <v>59</v>
      </c>
      <c r="E143">
        <v>499</v>
      </c>
      <c r="F143">
        <v>249290</v>
      </c>
      <c r="G143">
        <v>0</v>
      </c>
    </row>
    <row r="144" spans="1:7" x14ac:dyDescent="0.25">
      <c r="A144" s="5">
        <v>43559</v>
      </c>
      <c r="B144" s="4" t="s">
        <v>51</v>
      </c>
      <c r="C144" s="4" t="s">
        <v>68</v>
      </c>
      <c r="D144" s="4" t="s">
        <v>58</v>
      </c>
      <c r="E144">
        <v>501</v>
      </c>
      <c r="F144">
        <v>250600</v>
      </c>
      <c r="G144">
        <v>65000</v>
      </c>
    </row>
    <row r="145" spans="1:7" x14ac:dyDescent="0.25">
      <c r="A145" s="5">
        <v>43573</v>
      </c>
      <c r="B145" s="4" t="s">
        <v>51</v>
      </c>
      <c r="C145" s="4" t="s">
        <v>68</v>
      </c>
      <c r="D145" s="4" t="s">
        <v>54</v>
      </c>
      <c r="E145">
        <v>502</v>
      </c>
      <c r="F145">
        <v>250750</v>
      </c>
      <c r="G145">
        <v>40000</v>
      </c>
    </row>
    <row r="146" spans="1:7" x14ac:dyDescent="0.25">
      <c r="A146" s="5">
        <v>43573</v>
      </c>
      <c r="B146" s="4" t="s">
        <v>51</v>
      </c>
      <c r="C146" s="4" t="s">
        <v>68</v>
      </c>
      <c r="D146" s="4" t="s">
        <v>63</v>
      </c>
      <c r="E146">
        <v>508</v>
      </c>
      <c r="F146">
        <v>254180</v>
      </c>
      <c r="G146">
        <v>100000</v>
      </c>
    </row>
    <row r="147" spans="1:7" x14ac:dyDescent="0.25">
      <c r="A147" s="5">
        <v>43581</v>
      </c>
      <c r="B147" s="4" t="s">
        <v>51</v>
      </c>
      <c r="C147" s="4" t="s">
        <v>68</v>
      </c>
      <c r="D147" s="4" t="s">
        <v>64</v>
      </c>
      <c r="E147">
        <v>528</v>
      </c>
      <c r="F147">
        <v>264140</v>
      </c>
      <c r="G147">
        <v>0</v>
      </c>
    </row>
    <row r="148" spans="1:7" x14ac:dyDescent="0.25">
      <c r="A148" s="5">
        <v>43559</v>
      </c>
      <c r="B148" s="4" t="s">
        <v>51</v>
      </c>
      <c r="C148" s="4" t="s">
        <v>68</v>
      </c>
      <c r="D148" s="4" t="s">
        <v>58</v>
      </c>
      <c r="E148">
        <v>533</v>
      </c>
      <c r="F148">
        <v>266290</v>
      </c>
      <c r="G148">
        <v>170000</v>
      </c>
    </row>
    <row r="149" spans="1:7" x14ac:dyDescent="0.25">
      <c r="A149" s="5">
        <v>43566</v>
      </c>
      <c r="B149" s="4" t="s">
        <v>51</v>
      </c>
      <c r="C149" s="4" t="s">
        <v>68</v>
      </c>
      <c r="D149" s="4" t="s">
        <v>54</v>
      </c>
      <c r="E149">
        <v>546</v>
      </c>
      <c r="F149">
        <v>272920</v>
      </c>
      <c r="G149">
        <v>0</v>
      </c>
    </row>
    <row r="150" spans="1:7" x14ac:dyDescent="0.25">
      <c r="A150" s="5">
        <v>43581</v>
      </c>
      <c r="B150" s="4" t="s">
        <v>51</v>
      </c>
      <c r="C150" s="4" t="s">
        <v>68</v>
      </c>
      <c r="D150" s="4" t="s">
        <v>55</v>
      </c>
      <c r="E150">
        <v>547</v>
      </c>
      <c r="F150">
        <v>273580</v>
      </c>
      <c r="G150">
        <v>0</v>
      </c>
    </row>
    <row r="151" spans="1:7" x14ac:dyDescent="0.25">
      <c r="A151" s="5">
        <v>43581</v>
      </c>
      <c r="B151" s="4" t="s">
        <v>51</v>
      </c>
      <c r="C151" s="4" t="s">
        <v>68</v>
      </c>
      <c r="D151" s="4" t="s">
        <v>70</v>
      </c>
      <c r="E151">
        <v>575</v>
      </c>
      <c r="F151">
        <v>287680</v>
      </c>
      <c r="G151">
        <v>0</v>
      </c>
    </row>
    <row r="152" spans="1:7" x14ac:dyDescent="0.25">
      <c r="A152" s="5">
        <v>43581</v>
      </c>
      <c r="B152" s="4" t="s">
        <v>51</v>
      </c>
      <c r="C152" s="4" t="s">
        <v>68</v>
      </c>
      <c r="D152" s="4" t="s">
        <v>71</v>
      </c>
      <c r="E152">
        <v>595</v>
      </c>
      <c r="F152">
        <v>297710</v>
      </c>
      <c r="G152">
        <v>0</v>
      </c>
    </row>
    <row r="153" spans="1:7" x14ac:dyDescent="0.25">
      <c r="A153" s="5">
        <v>43573</v>
      </c>
      <c r="B153" s="4" t="s">
        <v>51</v>
      </c>
      <c r="C153" s="4" t="s">
        <v>68</v>
      </c>
      <c r="D153" s="4" t="s">
        <v>67</v>
      </c>
      <c r="E153">
        <v>600</v>
      </c>
      <c r="F153">
        <v>300250</v>
      </c>
      <c r="G153">
        <v>0</v>
      </c>
    </row>
    <row r="154" spans="1:7" x14ac:dyDescent="0.25">
      <c r="A154" s="5">
        <v>43573</v>
      </c>
      <c r="B154" s="4" t="s">
        <v>51</v>
      </c>
      <c r="C154" s="4" t="s">
        <v>68</v>
      </c>
      <c r="D154" s="4" t="s">
        <v>71</v>
      </c>
      <c r="E154">
        <v>615</v>
      </c>
      <c r="F154">
        <v>307290</v>
      </c>
      <c r="G154">
        <v>175000</v>
      </c>
    </row>
    <row r="155" spans="1:7" x14ac:dyDescent="0.25">
      <c r="A155" s="5">
        <v>43573</v>
      </c>
      <c r="B155" s="4" t="s">
        <v>51</v>
      </c>
      <c r="C155" s="4" t="s">
        <v>68</v>
      </c>
      <c r="D155" s="4" t="s">
        <v>57</v>
      </c>
      <c r="E155">
        <v>630</v>
      </c>
      <c r="F155">
        <v>314850</v>
      </c>
      <c r="G155">
        <v>20000</v>
      </c>
    </row>
    <row r="156" spans="1:7" x14ac:dyDescent="0.25">
      <c r="A156" s="5">
        <v>43559</v>
      </c>
      <c r="B156" s="4" t="s">
        <v>51</v>
      </c>
      <c r="C156" s="4" t="s">
        <v>68</v>
      </c>
      <c r="D156" s="4" t="s">
        <v>61</v>
      </c>
      <c r="E156">
        <v>638</v>
      </c>
      <c r="F156">
        <v>319160</v>
      </c>
      <c r="G156">
        <v>300000</v>
      </c>
    </row>
    <row r="157" spans="1:7" x14ac:dyDescent="0.25">
      <c r="A157" s="5">
        <v>43559</v>
      </c>
      <c r="B157" s="4" t="s">
        <v>51</v>
      </c>
      <c r="C157" s="4" t="s">
        <v>68</v>
      </c>
      <c r="D157" s="4" t="s">
        <v>70</v>
      </c>
      <c r="E157">
        <v>675</v>
      </c>
      <c r="F157">
        <v>337630</v>
      </c>
      <c r="G157">
        <v>70000</v>
      </c>
    </row>
    <row r="158" spans="1:7" x14ac:dyDescent="0.25">
      <c r="A158" s="5">
        <v>43566</v>
      </c>
      <c r="B158" s="4" t="s">
        <v>51</v>
      </c>
      <c r="C158" s="4" t="s">
        <v>68</v>
      </c>
      <c r="D158" s="4" t="s">
        <v>54</v>
      </c>
      <c r="E158">
        <v>688</v>
      </c>
      <c r="F158">
        <v>343750</v>
      </c>
      <c r="G158">
        <v>80000</v>
      </c>
    </row>
    <row r="159" spans="1:7" x14ac:dyDescent="0.25">
      <c r="A159" s="5">
        <v>43581</v>
      </c>
      <c r="B159" s="4" t="s">
        <v>51</v>
      </c>
      <c r="C159" s="4" t="s">
        <v>68</v>
      </c>
      <c r="D159" s="4" t="s">
        <v>61</v>
      </c>
      <c r="E159">
        <v>689</v>
      </c>
      <c r="F159">
        <v>344560</v>
      </c>
      <c r="G159">
        <v>0</v>
      </c>
    </row>
    <row r="160" spans="1:7" x14ac:dyDescent="0.25">
      <c r="A160" s="5">
        <v>43566</v>
      </c>
      <c r="B160" s="4" t="s">
        <v>51</v>
      </c>
      <c r="C160" s="4" t="s">
        <v>68</v>
      </c>
      <c r="D160" s="4" t="s">
        <v>55</v>
      </c>
      <c r="E160">
        <v>692</v>
      </c>
      <c r="F160">
        <v>346080</v>
      </c>
      <c r="G160">
        <v>50000</v>
      </c>
    </row>
    <row r="161" spans="1:7" x14ac:dyDescent="0.25">
      <c r="A161" s="5">
        <v>43559</v>
      </c>
      <c r="B161" s="4" t="s">
        <v>51</v>
      </c>
      <c r="C161" s="4" t="s">
        <v>68</v>
      </c>
      <c r="D161" s="4" t="s">
        <v>53</v>
      </c>
      <c r="E161">
        <v>712</v>
      </c>
      <c r="F161">
        <v>356040</v>
      </c>
      <c r="G161">
        <v>25000</v>
      </c>
    </row>
    <row r="162" spans="1:7" x14ac:dyDescent="0.25">
      <c r="A162" s="5">
        <v>43573</v>
      </c>
      <c r="B162" s="4" t="s">
        <v>51</v>
      </c>
      <c r="C162" s="4" t="s">
        <v>68</v>
      </c>
      <c r="D162" s="4" t="s">
        <v>61</v>
      </c>
      <c r="E162">
        <v>744</v>
      </c>
      <c r="F162">
        <v>371760</v>
      </c>
      <c r="G162">
        <v>0</v>
      </c>
    </row>
    <row r="163" spans="1:7" x14ac:dyDescent="0.25">
      <c r="A163" s="5">
        <v>43566</v>
      </c>
      <c r="B163" s="4" t="s">
        <v>51</v>
      </c>
      <c r="C163" s="4" t="s">
        <v>68</v>
      </c>
      <c r="D163" s="4" t="s">
        <v>57</v>
      </c>
      <c r="E163">
        <v>756</v>
      </c>
      <c r="F163">
        <v>378010</v>
      </c>
      <c r="G163">
        <v>100000</v>
      </c>
    </row>
    <row r="164" spans="1:7" x14ac:dyDescent="0.25">
      <c r="A164" s="5">
        <v>43581</v>
      </c>
      <c r="B164" s="4" t="s">
        <v>51</v>
      </c>
      <c r="C164" s="4" t="s">
        <v>68</v>
      </c>
      <c r="D164" s="4" t="s">
        <v>54</v>
      </c>
      <c r="E164">
        <v>762</v>
      </c>
      <c r="F164">
        <v>380890</v>
      </c>
      <c r="G164">
        <v>0</v>
      </c>
    </row>
    <row r="165" spans="1:7" x14ac:dyDescent="0.25">
      <c r="A165" s="5">
        <v>43566</v>
      </c>
      <c r="B165" s="4" t="s">
        <v>51</v>
      </c>
      <c r="C165" s="4" t="s">
        <v>68</v>
      </c>
      <c r="D165" s="4" t="s">
        <v>58</v>
      </c>
      <c r="E165">
        <v>765</v>
      </c>
      <c r="F165">
        <v>382530</v>
      </c>
      <c r="G165">
        <v>40000</v>
      </c>
    </row>
    <row r="166" spans="1:7" x14ac:dyDescent="0.25">
      <c r="A166" s="5">
        <v>43573</v>
      </c>
      <c r="B166" s="4" t="s">
        <v>51</v>
      </c>
      <c r="C166" s="4" t="s">
        <v>68</v>
      </c>
      <c r="D166" s="4" t="s">
        <v>53</v>
      </c>
      <c r="E166">
        <v>789</v>
      </c>
      <c r="F166">
        <v>394400</v>
      </c>
      <c r="G166">
        <v>30000</v>
      </c>
    </row>
    <row r="167" spans="1:7" x14ac:dyDescent="0.25">
      <c r="A167" s="5">
        <v>43566</v>
      </c>
      <c r="B167" s="4" t="s">
        <v>51</v>
      </c>
      <c r="C167" s="4" t="s">
        <v>68</v>
      </c>
      <c r="D167" s="4" t="s">
        <v>61</v>
      </c>
      <c r="E167">
        <v>801</v>
      </c>
      <c r="F167">
        <v>400310</v>
      </c>
      <c r="G167">
        <v>240000</v>
      </c>
    </row>
    <row r="168" spans="1:7" x14ac:dyDescent="0.25">
      <c r="A168" s="5">
        <v>43566</v>
      </c>
      <c r="B168" s="4" t="s">
        <v>51</v>
      </c>
      <c r="C168" s="4" t="s">
        <v>68</v>
      </c>
      <c r="D168" s="4" t="s">
        <v>54</v>
      </c>
      <c r="E168">
        <v>814</v>
      </c>
      <c r="F168">
        <v>406850</v>
      </c>
      <c r="G168">
        <v>150000</v>
      </c>
    </row>
    <row r="169" spans="1:7" x14ac:dyDescent="0.25">
      <c r="A169" s="5">
        <v>43573</v>
      </c>
      <c r="B169" s="4" t="s">
        <v>51</v>
      </c>
      <c r="C169" s="4" t="s">
        <v>68</v>
      </c>
      <c r="D169" s="4" t="s">
        <v>67</v>
      </c>
      <c r="E169">
        <v>820</v>
      </c>
      <c r="F169">
        <v>410000</v>
      </c>
      <c r="G169">
        <v>100000</v>
      </c>
    </row>
    <row r="170" spans="1:7" x14ac:dyDescent="0.25">
      <c r="A170" s="5">
        <v>43573</v>
      </c>
      <c r="B170" s="4" t="s">
        <v>51</v>
      </c>
      <c r="C170" s="4" t="s">
        <v>68</v>
      </c>
      <c r="D170" s="4" t="s">
        <v>55</v>
      </c>
      <c r="E170">
        <v>856</v>
      </c>
      <c r="F170">
        <v>427880</v>
      </c>
      <c r="G170">
        <v>65000</v>
      </c>
    </row>
    <row r="171" spans="1:7" x14ac:dyDescent="0.25">
      <c r="A171" s="5">
        <v>43559</v>
      </c>
      <c r="B171" s="4" t="s">
        <v>51</v>
      </c>
      <c r="C171" s="4" t="s">
        <v>68</v>
      </c>
      <c r="D171" s="4" t="s">
        <v>63</v>
      </c>
      <c r="E171">
        <v>860</v>
      </c>
      <c r="F171">
        <v>429760</v>
      </c>
      <c r="G171">
        <v>304320</v>
      </c>
    </row>
    <row r="172" spans="1:7" x14ac:dyDescent="0.25">
      <c r="A172" s="5">
        <v>43566</v>
      </c>
      <c r="B172" s="4" t="s">
        <v>51</v>
      </c>
      <c r="C172" s="4" t="s">
        <v>68</v>
      </c>
      <c r="D172" s="4" t="s">
        <v>54</v>
      </c>
      <c r="E172">
        <v>907</v>
      </c>
      <c r="F172">
        <v>453440</v>
      </c>
      <c r="G172">
        <v>150000</v>
      </c>
    </row>
    <row r="173" spans="1:7" x14ac:dyDescent="0.25">
      <c r="A173" s="5">
        <v>43581</v>
      </c>
      <c r="B173" s="4" t="s">
        <v>51</v>
      </c>
      <c r="C173" s="4" t="s">
        <v>68</v>
      </c>
      <c r="D173" s="4" t="s">
        <v>56</v>
      </c>
      <c r="E173">
        <v>932</v>
      </c>
      <c r="F173">
        <v>465850</v>
      </c>
      <c r="G173">
        <v>0</v>
      </c>
    </row>
    <row r="174" spans="1:7" x14ac:dyDescent="0.25">
      <c r="A174" s="5">
        <v>43573</v>
      </c>
      <c r="B174" s="4" t="s">
        <v>51</v>
      </c>
      <c r="C174" s="4" t="s">
        <v>68</v>
      </c>
      <c r="D174" s="4" t="s">
        <v>57</v>
      </c>
      <c r="E174">
        <v>958</v>
      </c>
      <c r="F174">
        <v>478950</v>
      </c>
      <c r="G174">
        <v>106800</v>
      </c>
    </row>
    <row r="175" spans="1:7" x14ac:dyDescent="0.25">
      <c r="A175" s="5">
        <v>43559</v>
      </c>
      <c r="B175" s="4" t="s">
        <v>51</v>
      </c>
      <c r="C175" s="4" t="s">
        <v>68</v>
      </c>
      <c r="D175" s="4" t="s">
        <v>71</v>
      </c>
      <c r="E175">
        <v>1000</v>
      </c>
      <c r="F175">
        <v>500090</v>
      </c>
      <c r="G175">
        <v>58880</v>
      </c>
    </row>
    <row r="176" spans="1:7" x14ac:dyDescent="0.25">
      <c r="A176" s="5">
        <v>43573</v>
      </c>
      <c r="B176" s="4" t="s">
        <v>51</v>
      </c>
      <c r="C176" s="4" t="s">
        <v>68</v>
      </c>
      <c r="D176" s="4" t="s">
        <v>59</v>
      </c>
      <c r="E176">
        <v>1003</v>
      </c>
      <c r="F176">
        <v>501600</v>
      </c>
      <c r="G176">
        <v>0</v>
      </c>
    </row>
    <row r="177" spans="1:7" x14ac:dyDescent="0.25">
      <c r="A177" s="5">
        <v>43581</v>
      </c>
      <c r="B177" s="4" t="s">
        <v>51</v>
      </c>
      <c r="C177" s="4" t="s">
        <v>68</v>
      </c>
      <c r="D177" s="4" t="s">
        <v>57</v>
      </c>
      <c r="E177">
        <v>1008</v>
      </c>
      <c r="F177">
        <v>504080</v>
      </c>
      <c r="G177">
        <v>0</v>
      </c>
    </row>
    <row r="178" spans="1:7" x14ac:dyDescent="0.25">
      <c r="A178" s="5">
        <v>43581</v>
      </c>
      <c r="B178" s="4" t="s">
        <v>51</v>
      </c>
      <c r="C178" s="4" t="s">
        <v>52</v>
      </c>
      <c r="D178" s="4" t="s">
        <v>56</v>
      </c>
      <c r="E178">
        <v>1012</v>
      </c>
      <c r="F178">
        <v>505920</v>
      </c>
      <c r="G178">
        <v>0</v>
      </c>
    </row>
    <row r="179" spans="1:7" x14ac:dyDescent="0.25">
      <c r="A179" s="5">
        <v>43581</v>
      </c>
      <c r="B179" s="4" t="s">
        <v>51</v>
      </c>
      <c r="C179" s="4" t="s">
        <v>52</v>
      </c>
      <c r="D179" s="4" t="s">
        <v>58</v>
      </c>
      <c r="E179">
        <v>1026</v>
      </c>
      <c r="F179">
        <v>513110</v>
      </c>
      <c r="G179">
        <v>0</v>
      </c>
    </row>
    <row r="180" spans="1:7" x14ac:dyDescent="0.25">
      <c r="A180" s="5">
        <v>43581</v>
      </c>
      <c r="B180" s="4" t="s">
        <v>51</v>
      </c>
      <c r="C180" s="4" t="s">
        <v>52</v>
      </c>
      <c r="D180" s="4" t="s">
        <v>60</v>
      </c>
      <c r="E180">
        <v>1036</v>
      </c>
      <c r="F180">
        <v>518040</v>
      </c>
      <c r="G180">
        <v>0</v>
      </c>
    </row>
    <row r="181" spans="1:7" x14ac:dyDescent="0.25">
      <c r="A181" s="5">
        <v>43566</v>
      </c>
      <c r="B181" s="4" t="s">
        <v>51</v>
      </c>
      <c r="C181" s="4" t="s">
        <v>52</v>
      </c>
      <c r="D181" s="4" t="s">
        <v>57</v>
      </c>
      <c r="E181">
        <v>1094</v>
      </c>
      <c r="F181">
        <v>547140</v>
      </c>
      <c r="G181">
        <v>224400</v>
      </c>
    </row>
    <row r="182" spans="1:7" x14ac:dyDescent="0.25">
      <c r="A182" s="5">
        <v>43559</v>
      </c>
      <c r="B182" s="4" t="s">
        <v>51</v>
      </c>
      <c r="C182" s="4" t="s">
        <v>52</v>
      </c>
      <c r="D182" s="4" t="s">
        <v>54</v>
      </c>
      <c r="E182">
        <v>1095</v>
      </c>
      <c r="F182">
        <v>547680</v>
      </c>
      <c r="G182">
        <v>150000</v>
      </c>
    </row>
    <row r="183" spans="1:7" x14ac:dyDescent="0.25">
      <c r="A183" s="5">
        <v>43581</v>
      </c>
      <c r="B183" s="4" t="s">
        <v>51</v>
      </c>
      <c r="C183" s="4" t="s">
        <v>52</v>
      </c>
      <c r="D183" s="4" t="s">
        <v>55</v>
      </c>
      <c r="E183">
        <v>1110</v>
      </c>
      <c r="F183">
        <v>554820</v>
      </c>
      <c r="G183">
        <v>0</v>
      </c>
    </row>
    <row r="184" spans="1:7" x14ac:dyDescent="0.25">
      <c r="A184" s="5">
        <v>43573</v>
      </c>
      <c r="B184" s="4" t="s">
        <v>51</v>
      </c>
      <c r="C184" s="4" t="s">
        <v>52</v>
      </c>
      <c r="D184" s="4" t="s">
        <v>64</v>
      </c>
      <c r="E184">
        <v>1170</v>
      </c>
      <c r="F184">
        <v>584990</v>
      </c>
      <c r="G184">
        <v>240000</v>
      </c>
    </row>
    <row r="185" spans="1:7" x14ac:dyDescent="0.25">
      <c r="A185" s="5">
        <v>43559</v>
      </c>
      <c r="B185" s="4" t="s">
        <v>51</v>
      </c>
      <c r="C185" s="4" t="s">
        <v>52</v>
      </c>
      <c r="D185" s="4" t="s">
        <v>55</v>
      </c>
      <c r="E185">
        <v>1178</v>
      </c>
      <c r="F185">
        <v>588840</v>
      </c>
      <c r="G185">
        <v>450000</v>
      </c>
    </row>
    <row r="186" spans="1:7" x14ac:dyDescent="0.25">
      <c r="A186" s="5">
        <v>43581</v>
      </c>
      <c r="B186" s="4" t="s">
        <v>51</v>
      </c>
      <c r="C186" s="4" t="s">
        <v>52</v>
      </c>
      <c r="D186" s="4" t="s">
        <v>54</v>
      </c>
      <c r="E186">
        <v>1187</v>
      </c>
      <c r="F186">
        <v>593404</v>
      </c>
      <c r="G186">
        <v>2000000</v>
      </c>
    </row>
    <row r="187" spans="1:7" x14ac:dyDescent="0.25">
      <c r="A187" s="5">
        <v>43581</v>
      </c>
      <c r="B187" s="4" t="s">
        <v>51</v>
      </c>
      <c r="C187" s="4" t="s">
        <v>52</v>
      </c>
      <c r="D187" s="4" t="s">
        <v>57</v>
      </c>
      <c r="E187">
        <v>1192</v>
      </c>
      <c r="F187">
        <v>596090</v>
      </c>
      <c r="G187">
        <v>2000000</v>
      </c>
    </row>
    <row r="188" spans="1:7" x14ac:dyDescent="0.25">
      <c r="A188" s="5">
        <v>43581</v>
      </c>
      <c r="B188" s="4" t="s">
        <v>51</v>
      </c>
      <c r="C188" s="4" t="s">
        <v>52</v>
      </c>
      <c r="D188" s="4" t="s">
        <v>57</v>
      </c>
      <c r="E188">
        <v>1208</v>
      </c>
      <c r="F188">
        <v>603810</v>
      </c>
      <c r="G188">
        <v>2000000</v>
      </c>
    </row>
    <row r="189" spans="1:7" x14ac:dyDescent="0.25">
      <c r="A189" s="5">
        <v>43581</v>
      </c>
      <c r="B189" s="4" t="s">
        <v>51</v>
      </c>
      <c r="C189" s="4" t="s">
        <v>52</v>
      </c>
      <c r="D189" s="4" t="s">
        <v>70</v>
      </c>
      <c r="E189">
        <v>1224</v>
      </c>
      <c r="F189">
        <v>612180</v>
      </c>
      <c r="G189">
        <v>2000000</v>
      </c>
    </row>
    <row r="190" spans="1:7" x14ac:dyDescent="0.25">
      <c r="A190" s="5">
        <v>43566</v>
      </c>
      <c r="B190" s="4" t="s">
        <v>51</v>
      </c>
      <c r="C190" s="4" t="s">
        <v>52</v>
      </c>
      <c r="D190" s="4" t="s">
        <v>54</v>
      </c>
      <c r="E190">
        <v>1240</v>
      </c>
      <c r="F190">
        <v>620040</v>
      </c>
      <c r="G190">
        <v>279000</v>
      </c>
    </row>
    <row r="191" spans="1:7" x14ac:dyDescent="0.25">
      <c r="A191" s="5">
        <v>43566</v>
      </c>
      <c r="B191" s="4" t="s">
        <v>51</v>
      </c>
      <c r="C191" s="4" t="s">
        <v>52</v>
      </c>
      <c r="D191" s="4" t="s">
        <v>54</v>
      </c>
      <c r="E191">
        <v>1324</v>
      </c>
      <c r="F191">
        <v>661900</v>
      </c>
      <c r="G191">
        <v>308000</v>
      </c>
    </row>
    <row r="192" spans="1:7" x14ac:dyDescent="0.25">
      <c r="A192" s="5">
        <v>43581</v>
      </c>
      <c r="B192" s="4" t="s">
        <v>51</v>
      </c>
      <c r="C192" s="4" t="s">
        <v>52</v>
      </c>
      <c r="D192" s="4" t="s">
        <v>54</v>
      </c>
      <c r="E192">
        <v>1336</v>
      </c>
      <c r="F192">
        <v>667800</v>
      </c>
      <c r="G192">
        <v>455000</v>
      </c>
    </row>
    <row r="193" spans="1:7" x14ac:dyDescent="0.25">
      <c r="A193" s="5">
        <v>43559</v>
      </c>
      <c r="B193" s="4" t="s">
        <v>51</v>
      </c>
      <c r="C193" s="4" t="s">
        <v>52</v>
      </c>
      <c r="D193" s="4" t="s">
        <v>61</v>
      </c>
      <c r="E193">
        <v>1367</v>
      </c>
      <c r="F193">
        <v>683530</v>
      </c>
      <c r="G193">
        <v>455000</v>
      </c>
    </row>
    <row r="194" spans="1:7" x14ac:dyDescent="0.25">
      <c r="A194" s="5">
        <v>43573</v>
      </c>
      <c r="B194" s="4" t="s">
        <v>51</v>
      </c>
      <c r="C194" s="4" t="s">
        <v>52</v>
      </c>
      <c r="D194" s="4" t="s">
        <v>53</v>
      </c>
      <c r="E194">
        <v>1381</v>
      </c>
      <c r="F194">
        <v>690630</v>
      </c>
      <c r="G194">
        <v>60000</v>
      </c>
    </row>
    <row r="195" spans="1:7" x14ac:dyDescent="0.25">
      <c r="A195" s="5">
        <v>43581</v>
      </c>
      <c r="B195" s="4" t="s">
        <v>51</v>
      </c>
      <c r="C195" s="4" t="s">
        <v>52</v>
      </c>
      <c r="D195" s="4" t="s">
        <v>54</v>
      </c>
      <c r="E195">
        <v>1486</v>
      </c>
      <c r="F195">
        <v>742840</v>
      </c>
      <c r="G195">
        <v>0</v>
      </c>
    </row>
    <row r="196" spans="1:7" x14ac:dyDescent="0.25">
      <c r="A196" s="5">
        <v>43573</v>
      </c>
      <c r="B196" s="4" t="s">
        <v>51</v>
      </c>
      <c r="C196" s="4" t="s">
        <v>52</v>
      </c>
      <c r="D196" s="4" t="s">
        <v>54</v>
      </c>
      <c r="E196">
        <v>1540</v>
      </c>
      <c r="F196">
        <v>770180</v>
      </c>
      <c r="G196">
        <v>255400</v>
      </c>
    </row>
    <row r="197" spans="1:7" x14ac:dyDescent="0.25">
      <c r="A197" s="5">
        <v>43573</v>
      </c>
      <c r="B197" s="4" t="s">
        <v>51</v>
      </c>
      <c r="C197" s="4" t="s">
        <v>52</v>
      </c>
      <c r="D197" s="4" t="s">
        <v>64</v>
      </c>
      <c r="E197">
        <v>1672</v>
      </c>
      <c r="F197">
        <v>836090</v>
      </c>
      <c r="G197">
        <v>210000</v>
      </c>
    </row>
    <row r="198" spans="1:7" x14ac:dyDescent="0.25">
      <c r="A198" s="5">
        <v>43559</v>
      </c>
      <c r="B198" s="4" t="s">
        <v>51</v>
      </c>
      <c r="C198" s="4" t="s">
        <v>52</v>
      </c>
      <c r="D198" s="4" t="s">
        <v>54</v>
      </c>
      <c r="E198">
        <v>1711</v>
      </c>
      <c r="F198">
        <v>855510</v>
      </c>
      <c r="G198">
        <v>390000</v>
      </c>
    </row>
    <row r="199" spans="1:7" x14ac:dyDescent="0.25">
      <c r="A199" s="5">
        <v>43581</v>
      </c>
      <c r="B199" s="4" t="s">
        <v>51</v>
      </c>
      <c r="C199" s="4" t="s">
        <v>52</v>
      </c>
      <c r="D199" s="4" t="s">
        <v>54</v>
      </c>
      <c r="E199">
        <v>1765</v>
      </c>
      <c r="F199">
        <v>882510</v>
      </c>
      <c r="G199">
        <v>0</v>
      </c>
    </row>
    <row r="200" spans="1:7" x14ac:dyDescent="0.25">
      <c r="A200" s="5">
        <v>43559</v>
      </c>
      <c r="B200" s="4" t="s">
        <v>51</v>
      </c>
      <c r="C200" s="4" t="s">
        <v>52</v>
      </c>
      <c r="D200" s="4" t="s">
        <v>60</v>
      </c>
      <c r="E200">
        <v>1839</v>
      </c>
      <c r="F200">
        <v>919620</v>
      </c>
      <c r="G200">
        <v>50000</v>
      </c>
    </row>
    <row r="201" spans="1:7" x14ac:dyDescent="0.25">
      <c r="A201" s="5">
        <v>43559</v>
      </c>
      <c r="B201" s="4" t="s">
        <v>51</v>
      </c>
      <c r="C201" s="4" t="s">
        <v>52</v>
      </c>
      <c r="D201" s="4" t="s">
        <v>63</v>
      </c>
      <c r="E201">
        <v>1843</v>
      </c>
      <c r="F201">
        <v>921590</v>
      </c>
      <c r="G201">
        <v>424900</v>
      </c>
    </row>
    <row r="202" spans="1:7" x14ac:dyDescent="0.25">
      <c r="A202" s="5">
        <v>43559</v>
      </c>
      <c r="B202" s="4" t="s">
        <v>51</v>
      </c>
      <c r="C202" s="4" t="s">
        <v>52</v>
      </c>
      <c r="D202" s="4" t="s">
        <v>55</v>
      </c>
      <c r="E202">
        <v>2040</v>
      </c>
      <c r="F202">
        <v>1019880</v>
      </c>
      <c r="G202">
        <v>30000</v>
      </c>
    </row>
    <row r="203" spans="1:7" x14ac:dyDescent="0.25">
      <c r="A203" s="5">
        <v>43559</v>
      </c>
      <c r="B203" s="4" t="s">
        <v>51</v>
      </c>
      <c r="C203" s="4" t="s">
        <v>52</v>
      </c>
      <c r="D203" s="4" t="s">
        <v>53</v>
      </c>
      <c r="E203">
        <v>2085</v>
      </c>
      <c r="F203">
        <v>1042440</v>
      </c>
      <c r="G203">
        <v>170000</v>
      </c>
    </row>
    <row r="204" spans="1:7" x14ac:dyDescent="0.25">
      <c r="A204" s="5">
        <v>43559</v>
      </c>
      <c r="B204" s="4" t="s">
        <v>51</v>
      </c>
      <c r="C204" s="4" t="s">
        <v>52</v>
      </c>
      <c r="D204" s="4" t="s">
        <v>54</v>
      </c>
      <c r="E204">
        <v>2096</v>
      </c>
      <c r="F204">
        <v>1048130</v>
      </c>
      <c r="G204">
        <v>48200</v>
      </c>
    </row>
    <row r="205" spans="1:7" x14ac:dyDescent="0.25">
      <c r="A205" s="5">
        <v>43566</v>
      </c>
      <c r="B205" s="4" t="s">
        <v>51</v>
      </c>
      <c r="C205" s="4" t="s">
        <v>52</v>
      </c>
      <c r="D205" s="4" t="s">
        <v>57</v>
      </c>
      <c r="E205">
        <v>2152</v>
      </c>
      <c r="F205">
        <v>1075960</v>
      </c>
      <c r="G205">
        <v>201400</v>
      </c>
    </row>
    <row r="206" spans="1:7" x14ac:dyDescent="0.25">
      <c r="A206" s="5">
        <v>43566</v>
      </c>
      <c r="B206" s="4" t="s">
        <v>51</v>
      </c>
      <c r="C206" s="4" t="s">
        <v>52</v>
      </c>
      <c r="D206" s="4" t="s">
        <v>64</v>
      </c>
      <c r="E206">
        <v>2265</v>
      </c>
      <c r="F206">
        <v>1132340</v>
      </c>
      <c r="G206">
        <v>370000</v>
      </c>
    </row>
    <row r="207" spans="1:7" x14ac:dyDescent="0.25">
      <c r="A207" s="5">
        <v>43573</v>
      </c>
      <c r="B207" s="4" t="s">
        <v>51</v>
      </c>
      <c r="C207" s="4" t="s">
        <v>52</v>
      </c>
      <c r="D207" s="4" t="s">
        <v>57</v>
      </c>
      <c r="E207">
        <v>2298</v>
      </c>
      <c r="F207">
        <v>1149170</v>
      </c>
      <c r="G207">
        <v>830590</v>
      </c>
    </row>
    <row r="208" spans="1:7" x14ac:dyDescent="0.25">
      <c r="A208" s="5">
        <v>43559</v>
      </c>
      <c r="B208" s="4" t="s">
        <v>51</v>
      </c>
      <c r="C208" s="4" t="s">
        <v>52</v>
      </c>
      <c r="D208" s="4" t="s">
        <v>57</v>
      </c>
      <c r="E208">
        <v>2339</v>
      </c>
      <c r="F208">
        <v>1169590</v>
      </c>
      <c r="G208">
        <v>295000</v>
      </c>
    </row>
    <row r="209" spans="1:7" x14ac:dyDescent="0.25">
      <c r="A209" s="5">
        <v>43581</v>
      </c>
      <c r="B209" s="4" t="s">
        <v>51</v>
      </c>
      <c r="C209" s="4" t="s">
        <v>52</v>
      </c>
      <c r="D209" s="4" t="s">
        <v>57</v>
      </c>
      <c r="E209">
        <v>2537</v>
      </c>
      <c r="F209">
        <v>1268495</v>
      </c>
      <c r="G209">
        <v>0</v>
      </c>
    </row>
    <row r="210" spans="1:7" x14ac:dyDescent="0.25">
      <c r="A210" s="5">
        <v>43566</v>
      </c>
      <c r="B210" s="4" t="s">
        <v>51</v>
      </c>
      <c r="C210" s="4" t="s">
        <v>52</v>
      </c>
      <c r="D210" s="4" t="s">
        <v>57</v>
      </c>
      <c r="E210">
        <v>2555</v>
      </c>
      <c r="F210">
        <v>1277350</v>
      </c>
      <c r="G210">
        <v>597000</v>
      </c>
    </row>
    <row r="211" spans="1:7" x14ac:dyDescent="0.25">
      <c r="A211" s="5">
        <v>43581</v>
      </c>
      <c r="B211" s="4" t="s">
        <v>51</v>
      </c>
      <c r="C211" s="4" t="s">
        <v>52</v>
      </c>
      <c r="D211" s="4" t="s">
        <v>53</v>
      </c>
      <c r="E211">
        <v>2623</v>
      </c>
      <c r="F211">
        <v>1311490</v>
      </c>
      <c r="G211">
        <v>597000</v>
      </c>
    </row>
    <row r="212" spans="1:7" x14ac:dyDescent="0.25">
      <c r="A212" s="5">
        <v>43559</v>
      </c>
      <c r="B212" s="4" t="s">
        <v>51</v>
      </c>
      <c r="C212" s="4" t="s">
        <v>52</v>
      </c>
      <c r="D212" s="4" t="s">
        <v>57</v>
      </c>
      <c r="E212">
        <v>3085</v>
      </c>
      <c r="F212">
        <v>1542580</v>
      </c>
      <c r="G212">
        <v>81920</v>
      </c>
    </row>
    <row r="213" spans="1:7" x14ac:dyDescent="0.25">
      <c r="A213" s="5">
        <v>43566</v>
      </c>
      <c r="B213" s="4" t="s">
        <v>51</v>
      </c>
      <c r="C213" s="4" t="s">
        <v>52</v>
      </c>
      <c r="D213" s="4" t="s">
        <v>60</v>
      </c>
      <c r="E213">
        <v>3180</v>
      </c>
      <c r="F213">
        <v>1590046</v>
      </c>
      <c r="G213">
        <v>1100000</v>
      </c>
    </row>
    <row r="214" spans="1:7" x14ac:dyDescent="0.25">
      <c r="A214" s="5">
        <v>43566</v>
      </c>
      <c r="B214" s="4" t="s">
        <v>51</v>
      </c>
      <c r="C214" s="4" t="s">
        <v>52</v>
      </c>
      <c r="D214" s="4" t="s">
        <v>64</v>
      </c>
      <c r="E214">
        <v>3409</v>
      </c>
      <c r="F214">
        <v>1704680</v>
      </c>
      <c r="G214">
        <v>1100000</v>
      </c>
    </row>
    <row r="215" spans="1:7" x14ac:dyDescent="0.25">
      <c r="A215" s="5">
        <v>43581</v>
      </c>
      <c r="B215" s="4" t="s">
        <v>51</v>
      </c>
      <c r="C215" s="4" t="s">
        <v>52</v>
      </c>
      <c r="D215" s="4" t="s">
        <v>64</v>
      </c>
      <c r="E215">
        <v>3527</v>
      </c>
      <c r="F215">
        <v>1763270</v>
      </c>
      <c r="G215">
        <v>1100000</v>
      </c>
    </row>
    <row r="216" spans="1:7" x14ac:dyDescent="0.25">
      <c r="A216" s="5">
        <v>43559</v>
      </c>
      <c r="B216" s="4" t="s">
        <v>51</v>
      </c>
      <c r="C216" s="4" t="s">
        <v>52</v>
      </c>
      <c r="D216" s="4" t="s">
        <v>54</v>
      </c>
      <c r="E216">
        <v>3892</v>
      </c>
      <c r="F216">
        <v>1946170</v>
      </c>
      <c r="G216">
        <v>115000</v>
      </c>
    </row>
    <row r="217" spans="1:7" x14ac:dyDescent="0.25">
      <c r="A217" s="5">
        <v>43559</v>
      </c>
      <c r="B217" s="4" t="s">
        <v>51</v>
      </c>
      <c r="C217" s="4" t="s">
        <v>52</v>
      </c>
      <c r="D217" s="4" t="s">
        <v>64</v>
      </c>
      <c r="E217">
        <v>4202</v>
      </c>
      <c r="F217">
        <v>2101170</v>
      </c>
      <c r="G217">
        <v>327200</v>
      </c>
    </row>
    <row r="218" spans="1:7" x14ac:dyDescent="0.25">
      <c r="A218" s="5">
        <v>43559</v>
      </c>
      <c r="B218" s="4" t="s">
        <v>51</v>
      </c>
      <c r="C218" s="4" t="s">
        <v>52</v>
      </c>
      <c r="D218" s="4" t="s">
        <v>57</v>
      </c>
      <c r="E218">
        <v>4430</v>
      </c>
      <c r="F218">
        <v>2215240</v>
      </c>
      <c r="G218">
        <v>1307000</v>
      </c>
    </row>
    <row r="219" spans="1:7" x14ac:dyDescent="0.25">
      <c r="A219" s="5">
        <v>43581</v>
      </c>
      <c r="B219" s="4" t="s">
        <v>51</v>
      </c>
      <c r="C219" s="4" t="s">
        <v>52</v>
      </c>
      <c r="D219" s="4" t="s">
        <v>64</v>
      </c>
      <c r="E219">
        <v>4577</v>
      </c>
      <c r="F219">
        <v>2288500</v>
      </c>
      <c r="G219">
        <v>1307000</v>
      </c>
    </row>
    <row r="220" spans="1:7" x14ac:dyDescent="0.25">
      <c r="A220" s="5">
        <v>43581</v>
      </c>
      <c r="B220" s="4" t="s">
        <v>51</v>
      </c>
      <c r="C220" s="4" t="s">
        <v>52</v>
      </c>
      <c r="D220" s="4" t="s">
        <v>57</v>
      </c>
      <c r="E220">
        <v>6067</v>
      </c>
      <c r="F220">
        <v>3033730</v>
      </c>
      <c r="G220">
        <v>4500</v>
      </c>
    </row>
    <row r="221" spans="1:7" x14ac:dyDescent="0.25">
      <c r="A221" s="5">
        <v>43559</v>
      </c>
      <c r="B221" s="4" t="s">
        <v>51</v>
      </c>
      <c r="C221" s="4" t="s">
        <v>52</v>
      </c>
      <c r="D221" s="4" t="s">
        <v>64</v>
      </c>
      <c r="E221">
        <v>7185</v>
      </c>
      <c r="F221">
        <v>3592540</v>
      </c>
      <c r="G221">
        <v>150000</v>
      </c>
    </row>
    <row r="222" spans="1:7" x14ac:dyDescent="0.25">
      <c r="A222" s="5">
        <v>43559</v>
      </c>
      <c r="B222" s="4" t="s">
        <v>51</v>
      </c>
      <c r="C222" s="4" t="s">
        <v>52</v>
      </c>
      <c r="D222" s="4" t="s">
        <v>57</v>
      </c>
      <c r="E222">
        <v>7287</v>
      </c>
      <c r="F222">
        <v>3643650</v>
      </c>
      <c r="G222">
        <v>308000</v>
      </c>
    </row>
    <row r="223" spans="1:7" x14ac:dyDescent="0.25">
      <c r="A223" s="5">
        <v>43557</v>
      </c>
      <c r="B223" s="4" t="s">
        <v>51</v>
      </c>
      <c r="C223" s="4" t="s">
        <v>72</v>
      </c>
      <c r="D223" s="4" t="s">
        <v>57</v>
      </c>
      <c r="E223">
        <v>228</v>
      </c>
      <c r="F223">
        <v>114140</v>
      </c>
      <c r="G223">
        <v>0</v>
      </c>
    </row>
    <row r="224" spans="1:7" x14ac:dyDescent="0.25">
      <c r="A224" s="5">
        <v>43557</v>
      </c>
      <c r="B224" s="4" t="s">
        <v>51</v>
      </c>
      <c r="C224" s="4" t="s">
        <v>72</v>
      </c>
      <c r="D224" s="4" t="s">
        <v>55</v>
      </c>
      <c r="E224">
        <v>16</v>
      </c>
      <c r="F224">
        <v>8150</v>
      </c>
      <c r="G224">
        <v>36000</v>
      </c>
    </row>
    <row r="225" spans="1:7" x14ac:dyDescent="0.25">
      <c r="A225" s="5">
        <v>43558</v>
      </c>
      <c r="B225" s="4" t="s">
        <v>51</v>
      </c>
      <c r="C225" s="4" t="s">
        <v>72</v>
      </c>
      <c r="D225" s="4" t="s">
        <v>57</v>
      </c>
      <c r="E225">
        <v>1651</v>
      </c>
      <c r="F225">
        <v>825325</v>
      </c>
      <c r="G225">
        <v>100000</v>
      </c>
    </row>
    <row r="226" spans="1:7" x14ac:dyDescent="0.25">
      <c r="A226" s="5">
        <v>43558</v>
      </c>
      <c r="B226" s="4" t="s">
        <v>51</v>
      </c>
      <c r="C226" s="4" t="s">
        <v>72</v>
      </c>
      <c r="D226" s="4" t="s">
        <v>53</v>
      </c>
      <c r="E226">
        <v>208</v>
      </c>
      <c r="F226">
        <v>103890</v>
      </c>
      <c r="G226">
        <v>0</v>
      </c>
    </row>
    <row r="227" spans="1:7" x14ac:dyDescent="0.25">
      <c r="A227" s="5">
        <v>43558</v>
      </c>
      <c r="B227" s="4" t="s">
        <v>51</v>
      </c>
      <c r="C227" s="4" t="s">
        <v>72</v>
      </c>
      <c r="D227" s="4" t="s">
        <v>62</v>
      </c>
      <c r="E227">
        <v>182</v>
      </c>
      <c r="F227">
        <v>91030</v>
      </c>
      <c r="G227">
        <v>0</v>
      </c>
    </row>
    <row r="228" spans="1:7" x14ac:dyDescent="0.25">
      <c r="A228" s="5">
        <v>43558</v>
      </c>
      <c r="B228" s="4" t="s">
        <v>51</v>
      </c>
      <c r="C228" s="4" t="s">
        <v>72</v>
      </c>
      <c r="D228" s="4" t="s">
        <v>56</v>
      </c>
      <c r="E228">
        <v>145</v>
      </c>
      <c r="F228">
        <v>72660</v>
      </c>
      <c r="G228">
        <v>0</v>
      </c>
    </row>
    <row r="229" spans="1:7" x14ac:dyDescent="0.25">
      <c r="A229" s="5">
        <v>43559</v>
      </c>
      <c r="B229" s="4" t="s">
        <v>51</v>
      </c>
      <c r="C229" s="4" t="s">
        <v>72</v>
      </c>
      <c r="D229" s="4" t="s">
        <v>60</v>
      </c>
      <c r="E229">
        <v>114</v>
      </c>
      <c r="F229">
        <v>57010</v>
      </c>
      <c r="G229">
        <v>0</v>
      </c>
    </row>
    <row r="230" spans="1:7" x14ac:dyDescent="0.25">
      <c r="A230" s="5">
        <v>43559</v>
      </c>
      <c r="B230" s="4" t="s">
        <v>51</v>
      </c>
      <c r="C230" s="4" t="s">
        <v>72</v>
      </c>
      <c r="D230" s="4" t="s">
        <v>57</v>
      </c>
      <c r="E230">
        <v>186</v>
      </c>
      <c r="F230">
        <v>93024</v>
      </c>
      <c r="G230">
        <v>20000</v>
      </c>
    </row>
    <row r="231" spans="1:7" x14ac:dyDescent="0.25">
      <c r="A231" s="5">
        <v>43559</v>
      </c>
      <c r="B231" s="4" t="s">
        <v>51</v>
      </c>
      <c r="C231" s="4" t="s">
        <v>72</v>
      </c>
      <c r="D231" s="4" t="s">
        <v>55</v>
      </c>
      <c r="E231">
        <v>615</v>
      </c>
      <c r="F231">
        <v>307315</v>
      </c>
      <c r="G231">
        <v>20000</v>
      </c>
    </row>
    <row r="232" spans="1:7" x14ac:dyDescent="0.25">
      <c r="A232" s="5">
        <v>43559</v>
      </c>
      <c r="B232" s="4" t="s">
        <v>51</v>
      </c>
      <c r="C232" s="4" t="s">
        <v>72</v>
      </c>
      <c r="D232" s="4" t="s">
        <v>53</v>
      </c>
      <c r="E232">
        <v>103</v>
      </c>
      <c r="F232">
        <v>51625</v>
      </c>
      <c r="G232">
        <v>0</v>
      </c>
    </row>
    <row r="233" spans="1:7" x14ac:dyDescent="0.25">
      <c r="A233" s="5">
        <v>43560</v>
      </c>
      <c r="B233" s="4" t="s">
        <v>51</v>
      </c>
      <c r="C233" s="4" t="s">
        <v>72</v>
      </c>
      <c r="D233" s="4" t="s">
        <v>61</v>
      </c>
      <c r="E233">
        <v>373</v>
      </c>
      <c r="F233">
        <v>186640</v>
      </c>
      <c r="G233">
        <v>42000</v>
      </c>
    </row>
    <row r="234" spans="1:7" x14ac:dyDescent="0.25">
      <c r="A234" s="5">
        <v>43560</v>
      </c>
      <c r="B234" s="4" t="s">
        <v>51</v>
      </c>
      <c r="C234" s="4" t="s">
        <v>72</v>
      </c>
      <c r="D234" s="4" t="s">
        <v>55</v>
      </c>
      <c r="E234">
        <v>36</v>
      </c>
      <c r="F234">
        <v>18140</v>
      </c>
      <c r="G234">
        <v>4900</v>
      </c>
    </row>
    <row r="235" spans="1:7" x14ac:dyDescent="0.25">
      <c r="A235" s="5">
        <v>43561</v>
      </c>
      <c r="B235" s="4" t="s">
        <v>51</v>
      </c>
      <c r="C235" s="4" t="s">
        <v>72</v>
      </c>
      <c r="D235" s="4" t="s">
        <v>63</v>
      </c>
      <c r="E235">
        <v>99</v>
      </c>
      <c r="F235">
        <v>49620</v>
      </c>
      <c r="G235">
        <v>2000</v>
      </c>
    </row>
    <row r="236" spans="1:7" x14ac:dyDescent="0.25">
      <c r="A236" s="5">
        <v>43562</v>
      </c>
      <c r="B236" s="4" t="s">
        <v>51</v>
      </c>
      <c r="C236" s="4" t="s">
        <v>72</v>
      </c>
      <c r="D236" s="4" t="s">
        <v>61</v>
      </c>
      <c r="E236">
        <v>55</v>
      </c>
      <c r="F236">
        <v>27330</v>
      </c>
      <c r="G236">
        <v>330</v>
      </c>
    </row>
    <row r="237" spans="1:7" x14ac:dyDescent="0.25">
      <c r="A237" s="5">
        <v>43564</v>
      </c>
      <c r="B237" s="4" t="s">
        <v>51</v>
      </c>
      <c r="C237" s="4" t="s">
        <v>72</v>
      </c>
      <c r="D237" s="4" t="s">
        <v>55</v>
      </c>
      <c r="E237">
        <v>63</v>
      </c>
      <c r="F237">
        <v>31640</v>
      </c>
      <c r="G237">
        <v>20000</v>
      </c>
    </row>
    <row r="238" spans="1:7" x14ac:dyDescent="0.25">
      <c r="A238" s="5">
        <v>43564</v>
      </c>
      <c r="B238" s="4" t="s">
        <v>51</v>
      </c>
      <c r="C238" s="4" t="s">
        <v>72</v>
      </c>
      <c r="D238" s="4" t="s">
        <v>63</v>
      </c>
      <c r="E238">
        <v>74</v>
      </c>
      <c r="F238">
        <v>36930</v>
      </c>
      <c r="G238">
        <v>11930</v>
      </c>
    </row>
    <row r="239" spans="1:7" x14ac:dyDescent="0.25">
      <c r="A239" s="5">
        <v>43565</v>
      </c>
      <c r="B239" s="4" t="s">
        <v>51</v>
      </c>
      <c r="C239" s="4" t="s">
        <v>72</v>
      </c>
      <c r="D239" s="4" t="s">
        <v>53</v>
      </c>
      <c r="E239">
        <v>105</v>
      </c>
      <c r="F239">
        <v>52520</v>
      </c>
      <c r="G239">
        <v>10000</v>
      </c>
    </row>
    <row r="240" spans="1:7" x14ac:dyDescent="0.25">
      <c r="A240" s="5">
        <v>43565</v>
      </c>
      <c r="B240" s="4" t="s">
        <v>51</v>
      </c>
      <c r="C240" s="4" t="s">
        <v>72</v>
      </c>
      <c r="D240" s="4" t="s">
        <v>63</v>
      </c>
      <c r="E240">
        <v>12</v>
      </c>
      <c r="F240">
        <v>5985</v>
      </c>
      <c r="G240">
        <v>0</v>
      </c>
    </row>
    <row r="241" spans="1:7" x14ac:dyDescent="0.25">
      <c r="A241" s="5">
        <v>43565</v>
      </c>
      <c r="B241" s="4" t="s">
        <v>51</v>
      </c>
      <c r="C241" s="4" t="s">
        <v>72</v>
      </c>
      <c r="D241" s="4" t="s">
        <v>57</v>
      </c>
      <c r="E241">
        <v>87</v>
      </c>
      <c r="F241">
        <v>43650</v>
      </c>
      <c r="G241">
        <v>0</v>
      </c>
    </row>
    <row r="242" spans="1:7" x14ac:dyDescent="0.25">
      <c r="A242" s="5">
        <v>43565</v>
      </c>
      <c r="B242" s="4" t="s">
        <v>51</v>
      </c>
      <c r="C242" s="4" t="s">
        <v>72</v>
      </c>
      <c r="D242" s="4" t="s">
        <v>62</v>
      </c>
      <c r="E242">
        <v>14</v>
      </c>
      <c r="F242">
        <v>6795</v>
      </c>
      <c r="G242">
        <v>4000</v>
      </c>
    </row>
    <row r="243" spans="1:7" x14ac:dyDescent="0.25">
      <c r="A243" s="5">
        <v>43566</v>
      </c>
      <c r="B243" s="4" t="s">
        <v>51</v>
      </c>
      <c r="C243" s="4" t="s">
        <v>72</v>
      </c>
      <c r="D243" s="4" t="s">
        <v>65</v>
      </c>
      <c r="E243">
        <v>170</v>
      </c>
      <c r="F243">
        <v>84915</v>
      </c>
      <c r="G243">
        <v>25060</v>
      </c>
    </row>
    <row r="244" spans="1:7" x14ac:dyDescent="0.25">
      <c r="A244" s="5">
        <v>43566</v>
      </c>
      <c r="B244" s="4" t="s">
        <v>51</v>
      </c>
      <c r="C244" s="4" t="s">
        <v>72</v>
      </c>
      <c r="D244" s="4" t="s">
        <v>63</v>
      </c>
      <c r="E244">
        <v>35</v>
      </c>
      <c r="F244">
        <v>17460</v>
      </c>
      <c r="G244">
        <v>20000</v>
      </c>
    </row>
    <row r="245" spans="1:7" x14ac:dyDescent="0.25">
      <c r="A245" s="5">
        <v>43566</v>
      </c>
      <c r="B245" s="4" t="s">
        <v>51</v>
      </c>
      <c r="C245" s="4" t="s">
        <v>72</v>
      </c>
      <c r="D245" s="4" t="s">
        <v>55</v>
      </c>
      <c r="E245">
        <v>49</v>
      </c>
      <c r="F245">
        <v>24330</v>
      </c>
      <c r="G245">
        <v>20000</v>
      </c>
    </row>
    <row r="246" spans="1:7" x14ac:dyDescent="0.25">
      <c r="A246" s="5">
        <v>43567</v>
      </c>
      <c r="B246" s="4" t="s">
        <v>51</v>
      </c>
      <c r="C246" s="4" t="s">
        <v>72</v>
      </c>
      <c r="D246" s="4" t="s">
        <v>57</v>
      </c>
      <c r="E246">
        <v>218</v>
      </c>
      <c r="F246">
        <v>108870</v>
      </c>
      <c r="G246">
        <v>0</v>
      </c>
    </row>
    <row r="247" spans="1:7" x14ac:dyDescent="0.25">
      <c r="A247" s="5">
        <v>43567</v>
      </c>
      <c r="B247" s="4" t="s">
        <v>51</v>
      </c>
      <c r="C247" s="4" t="s">
        <v>72</v>
      </c>
      <c r="D247" s="4" t="s">
        <v>60</v>
      </c>
      <c r="E247">
        <v>286</v>
      </c>
      <c r="F247">
        <v>142870</v>
      </c>
      <c r="G247">
        <v>0</v>
      </c>
    </row>
    <row r="248" spans="1:7" x14ac:dyDescent="0.25">
      <c r="A248" s="5">
        <v>43567</v>
      </c>
      <c r="B248" s="4" t="s">
        <v>51</v>
      </c>
      <c r="C248" s="4" t="s">
        <v>72</v>
      </c>
      <c r="D248" s="4" t="s">
        <v>57</v>
      </c>
      <c r="E248">
        <v>45</v>
      </c>
      <c r="F248">
        <v>22650</v>
      </c>
      <c r="G248">
        <v>2650</v>
      </c>
    </row>
    <row r="249" spans="1:7" x14ac:dyDescent="0.25">
      <c r="A249" s="5">
        <v>43567</v>
      </c>
      <c r="B249" s="4" t="s">
        <v>51</v>
      </c>
      <c r="C249" s="4" t="s">
        <v>72</v>
      </c>
      <c r="D249" s="4" t="s">
        <v>55</v>
      </c>
      <c r="E249">
        <v>110</v>
      </c>
      <c r="F249">
        <v>54795</v>
      </c>
      <c r="G249">
        <v>16430</v>
      </c>
    </row>
    <row r="250" spans="1:7" x14ac:dyDescent="0.25">
      <c r="A250" s="5">
        <v>43568</v>
      </c>
      <c r="B250" s="4" t="s">
        <v>51</v>
      </c>
      <c r="C250" s="4" t="s">
        <v>72</v>
      </c>
      <c r="D250" s="4" t="s">
        <v>55</v>
      </c>
      <c r="E250">
        <v>6</v>
      </c>
      <c r="F250">
        <v>3150</v>
      </c>
      <c r="G250">
        <v>0</v>
      </c>
    </row>
    <row r="251" spans="1:7" x14ac:dyDescent="0.25">
      <c r="A251" s="5">
        <v>43568</v>
      </c>
      <c r="B251" s="4" t="s">
        <v>51</v>
      </c>
      <c r="C251" s="4" t="s">
        <v>72</v>
      </c>
      <c r="D251" s="4" t="s">
        <v>54</v>
      </c>
      <c r="E251">
        <v>20</v>
      </c>
      <c r="F251">
        <v>10080</v>
      </c>
      <c r="G251">
        <v>0</v>
      </c>
    </row>
    <row r="252" spans="1:7" x14ac:dyDescent="0.25">
      <c r="A252" s="5">
        <v>43571</v>
      </c>
      <c r="B252" s="4" t="s">
        <v>51</v>
      </c>
      <c r="C252" s="4" t="s">
        <v>72</v>
      </c>
      <c r="D252" s="4" t="s">
        <v>55</v>
      </c>
      <c r="E252">
        <v>11</v>
      </c>
      <c r="F252">
        <v>5685</v>
      </c>
      <c r="G252">
        <v>0</v>
      </c>
    </row>
    <row r="253" spans="1:7" x14ac:dyDescent="0.25">
      <c r="A253" s="5">
        <v>43571</v>
      </c>
      <c r="B253" s="4" t="s">
        <v>51</v>
      </c>
      <c r="C253" s="4" t="s">
        <v>72</v>
      </c>
      <c r="D253" s="4" t="s">
        <v>57</v>
      </c>
      <c r="E253">
        <v>43</v>
      </c>
      <c r="F253">
        <v>21640</v>
      </c>
      <c r="G253">
        <v>0</v>
      </c>
    </row>
    <row r="254" spans="1:7" x14ac:dyDescent="0.25">
      <c r="A254" s="5">
        <v>43572</v>
      </c>
      <c r="B254" s="4" t="s">
        <v>51</v>
      </c>
      <c r="C254" s="4" t="s">
        <v>72</v>
      </c>
      <c r="D254" s="4" t="s">
        <v>55</v>
      </c>
      <c r="E254">
        <v>18</v>
      </c>
      <c r="F254">
        <v>8875</v>
      </c>
      <c r="G254">
        <v>54990</v>
      </c>
    </row>
    <row r="255" spans="1:7" x14ac:dyDescent="0.25">
      <c r="A255" s="5">
        <v>43572</v>
      </c>
      <c r="B255" s="4" t="s">
        <v>51</v>
      </c>
      <c r="C255" s="4" t="s">
        <v>72</v>
      </c>
      <c r="D255" s="4" t="s">
        <v>53</v>
      </c>
      <c r="E255">
        <v>75</v>
      </c>
      <c r="F255">
        <v>37340</v>
      </c>
      <c r="G255">
        <v>20000</v>
      </c>
    </row>
    <row r="256" spans="1:7" x14ac:dyDescent="0.25">
      <c r="A256" s="5">
        <v>43573</v>
      </c>
      <c r="B256" s="4" t="s">
        <v>51</v>
      </c>
      <c r="C256" s="4" t="s">
        <v>72</v>
      </c>
      <c r="D256" s="4" t="s">
        <v>55</v>
      </c>
      <c r="E256">
        <v>40</v>
      </c>
      <c r="F256">
        <v>20040</v>
      </c>
      <c r="G256">
        <v>56040</v>
      </c>
    </row>
    <row r="257" spans="1:7" x14ac:dyDescent="0.25">
      <c r="A257" s="5">
        <v>43573</v>
      </c>
      <c r="B257" s="4" t="s">
        <v>51</v>
      </c>
      <c r="C257" s="4" t="s">
        <v>72</v>
      </c>
      <c r="D257" s="4" t="s">
        <v>53</v>
      </c>
      <c r="E257">
        <v>73</v>
      </c>
      <c r="F257">
        <v>36430</v>
      </c>
      <c r="G257">
        <v>0</v>
      </c>
    </row>
    <row r="258" spans="1:7" x14ac:dyDescent="0.25">
      <c r="A258" s="5">
        <v>43574</v>
      </c>
      <c r="B258" s="4" t="s">
        <v>51</v>
      </c>
      <c r="C258" s="4" t="s">
        <v>72</v>
      </c>
      <c r="D258" s="4" t="s">
        <v>57</v>
      </c>
      <c r="E258">
        <v>1068</v>
      </c>
      <c r="F258">
        <v>534000</v>
      </c>
      <c r="G258">
        <v>0</v>
      </c>
    </row>
    <row r="259" spans="1:7" x14ac:dyDescent="0.25">
      <c r="A259" s="5">
        <v>43574</v>
      </c>
      <c r="B259" s="4" t="s">
        <v>51</v>
      </c>
      <c r="C259" s="4" t="s">
        <v>72</v>
      </c>
      <c r="D259" s="4" t="s">
        <v>55</v>
      </c>
      <c r="E259">
        <v>62</v>
      </c>
      <c r="F259">
        <v>31090</v>
      </c>
      <c r="G259">
        <v>50000</v>
      </c>
    </row>
    <row r="260" spans="1:7" x14ac:dyDescent="0.25">
      <c r="A260" s="5">
        <v>43575</v>
      </c>
      <c r="B260" s="4" t="s">
        <v>51</v>
      </c>
      <c r="C260" s="4" t="s">
        <v>72</v>
      </c>
      <c r="D260" s="4" t="s">
        <v>61</v>
      </c>
      <c r="E260">
        <v>28</v>
      </c>
      <c r="F260">
        <v>13950</v>
      </c>
      <c r="G260">
        <v>0</v>
      </c>
    </row>
    <row r="261" spans="1:7" x14ac:dyDescent="0.25">
      <c r="A261" s="5">
        <v>43575</v>
      </c>
      <c r="B261" s="4" t="s">
        <v>51</v>
      </c>
      <c r="C261" s="4" t="s">
        <v>72</v>
      </c>
      <c r="D261" s="4" t="s">
        <v>55</v>
      </c>
      <c r="E261">
        <v>202</v>
      </c>
      <c r="F261">
        <v>100840</v>
      </c>
      <c r="G261">
        <v>20000</v>
      </c>
    </row>
    <row r="262" spans="1:7" x14ac:dyDescent="0.25">
      <c r="A262" s="5">
        <v>43575</v>
      </c>
      <c r="B262" s="4" t="s">
        <v>51</v>
      </c>
      <c r="C262" s="4" t="s">
        <v>72</v>
      </c>
      <c r="D262" s="4" t="s">
        <v>56</v>
      </c>
      <c r="E262">
        <v>119</v>
      </c>
      <c r="F262">
        <v>59700</v>
      </c>
      <c r="G262">
        <v>29700</v>
      </c>
    </row>
    <row r="263" spans="1:7" x14ac:dyDescent="0.25">
      <c r="A263" s="5">
        <v>43575</v>
      </c>
      <c r="B263" s="4" t="s">
        <v>51</v>
      </c>
      <c r="C263" s="4" t="s">
        <v>72</v>
      </c>
      <c r="D263" s="4" t="s">
        <v>56</v>
      </c>
      <c r="E263">
        <v>55</v>
      </c>
      <c r="F263">
        <v>27400</v>
      </c>
      <c r="G263">
        <v>27400</v>
      </c>
    </row>
    <row r="264" spans="1:7" x14ac:dyDescent="0.25">
      <c r="A264" s="5">
        <v>43575</v>
      </c>
      <c r="B264" s="4" t="s">
        <v>51</v>
      </c>
      <c r="C264" s="4" t="s">
        <v>72</v>
      </c>
      <c r="D264" s="4" t="s">
        <v>65</v>
      </c>
      <c r="E264">
        <v>79</v>
      </c>
      <c r="F264">
        <v>39485</v>
      </c>
      <c r="G264">
        <v>0</v>
      </c>
    </row>
    <row r="265" spans="1:7" x14ac:dyDescent="0.25">
      <c r="A265" s="5">
        <v>43576</v>
      </c>
      <c r="B265" s="4" t="s">
        <v>51</v>
      </c>
      <c r="C265" s="4" t="s">
        <v>72</v>
      </c>
      <c r="D265" s="4" t="s">
        <v>66</v>
      </c>
      <c r="E265">
        <v>423</v>
      </c>
      <c r="F265">
        <v>211650</v>
      </c>
      <c r="G265">
        <v>0</v>
      </c>
    </row>
    <row r="266" spans="1:7" x14ac:dyDescent="0.25">
      <c r="A266" s="5">
        <v>43576</v>
      </c>
      <c r="B266" s="4" t="s">
        <v>51</v>
      </c>
      <c r="C266" s="4" t="s">
        <v>72</v>
      </c>
      <c r="D266" s="4" t="s">
        <v>55</v>
      </c>
      <c r="E266">
        <v>120</v>
      </c>
      <c r="F266">
        <v>60100</v>
      </c>
      <c r="G266">
        <v>40100</v>
      </c>
    </row>
    <row r="267" spans="1:7" x14ac:dyDescent="0.25">
      <c r="A267" s="5">
        <v>43578</v>
      </c>
      <c r="B267" s="4" t="s">
        <v>51</v>
      </c>
      <c r="C267" s="4" t="s">
        <v>72</v>
      </c>
      <c r="D267" s="4" t="s">
        <v>58</v>
      </c>
      <c r="E267">
        <v>158</v>
      </c>
      <c r="F267">
        <v>78750</v>
      </c>
      <c r="G267">
        <v>28750</v>
      </c>
    </row>
    <row r="268" spans="1:7" x14ac:dyDescent="0.25">
      <c r="A268" s="5">
        <v>43579</v>
      </c>
      <c r="B268" s="4" t="s">
        <v>51</v>
      </c>
      <c r="C268" s="4" t="s">
        <v>72</v>
      </c>
      <c r="D268" s="4" t="s">
        <v>55</v>
      </c>
      <c r="E268">
        <v>33</v>
      </c>
      <c r="F268">
        <v>16690</v>
      </c>
      <c r="G268">
        <v>0</v>
      </c>
    </row>
    <row r="269" spans="1:7" x14ac:dyDescent="0.25">
      <c r="A269" s="5">
        <v>43580</v>
      </c>
      <c r="B269" s="4" t="s">
        <v>51</v>
      </c>
      <c r="C269" s="4" t="s">
        <v>72</v>
      </c>
      <c r="D269" s="4" t="s">
        <v>55</v>
      </c>
      <c r="E269">
        <v>48</v>
      </c>
      <c r="F269">
        <v>24105</v>
      </c>
      <c r="G269">
        <v>28100</v>
      </c>
    </row>
    <row r="270" spans="1:7" x14ac:dyDescent="0.25">
      <c r="A270" s="5">
        <v>43580</v>
      </c>
      <c r="B270" s="4" t="s">
        <v>51</v>
      </c>
      <c r="C270" s="4" t="s">
        <v>72</v>
      </c>
      <c r="D270" s="4" t="s">
        <v>60</v>
      </c>
      <c r="E270">
        <v>75</v>
      </c>
      <c r="F270">
        <v>37290</v>
      </c>
      <c r="G270">
        <v>25000</v>
      </c>
    </row>
    <row r="271" spans="1:7" x14ac:dyDescent="0.25">
      <c r="A271" s="5">
        <v>43580</v>
      </c>
      <c r="B271" s="4" t="s">
        <v>51</v>
      </c>
      <c r="C271" s="4" t="s">
        <v>72</v>
      </c>
      <c r="D271" s="4" t="s">
        <v>66</v>
      </c>
      <c r="E271">
        <v>16</v>
      </c>
      <c r="F271">
        <v>7800</v>
      </c>
      <c r="G271">
        <v>800</v>
      </c>
    </row>
    <row r="272" spans="1:7" x14ac:dyDescent="0.25">
      <c r="A272" s="5">
        <v>43581</v>
      </c>
      <c r="B272" s="4" t="s">
        <v>51</v>
      </c>
      <c r="C272" s="4" t="s">
        <v>72</v>
      </c>
      <c r="D272" s="4" t="s">
        <v>57</v>
      </c>
      <c r="E272">
        <v>181</v>
      </c>
      <c r="F272">
        <v>90370</v>
      </c>
      <c r="G272">
        <v>0</v>
      </c>
    </row>
    <row r="273" spans="1:7" x14ac:dyDescent="0.25">
      <c r="A273" s="5">
        <v>43581</v>
      </c>
      <c r="B273" s="4" t="s">
        <v>51</v>
      </c>
      <c r="C273" s="4" t="s">
        <v>72</v>
      </c>
      <c r="D273" s="4" t="s">
        <v>55</v>
      </c>
      <c r="E273">
        <v>216</v>
      </c>
      <c r="F273">
        <v>108090</v>
      </c>
      <c r="G273">
        <v>0</v>
      </c>
    </row>
    <row r="274" spans="1:7" x14ac:dyDescent="0.25">
      <c r="A274" s="5">
        <v>43582</v>
      </c>
      <c r="B274" s="4" t="s">
        <v>51</v>
      </c>
      <c r="C274" s="4" t="s">
        <v>72</v>
      </c>
      <c r="D274" s="4" t="s">
        <v>55</v>
      </c>
      <c r="E274">
        <v>80</v>
      </c>
      <c r="F274">
        <v>40180</v>
      </c>
      <c r="G274">
        <v>25000</v>
      </c>
    </row>
    <row r="275" spans="1:7" x14ac:dyDescent="0.25">
      <c r="A275" s="5">
        <v>43582</v>
      </c>
      <c r="B275" s="4" t="s">
        <v>51</v>
      </c>
      <c r="C275" s="4" t="s">
        <v>72</v>
      </c>
      <c r="D275" s="4" t="s">
        <v>53</v>
      </c>
      <c r="E275">
        <v>140</v>
      </c>
      <c r="F275">
        <v>70000</v>
      </c>
      <c r="G275">
        <v>0</v>
      </c>
    </row>
    <row r="276" spans="1:7" x14ac:dyDescent="0.25">
      <c r="A276" s="5">
        <v>43583</v>
      </c>
      <c r="B276" s="4" t="s">
        <v>51</v>
      </c>
      <c r="C276" s="4" t="s">
        <v>72</v>
      </c>
      <c r="D276" s="4" t="s">
        <v>55</v>
      </c>
      <c r="E276">
        <v>60</v>
      </c>
      <c r="F276">
        <v>29900</v>
      </c>
      <c r="G276">
        <v>62500</v>
      </c>
    </row>
    <row r="277" spans="1:7" x14ac:dyDescent="0.25">
      <c r="A277" s="5">
        <v>43583</v>
      </c>
      <c r="B277" s="4" t="s">
        <v>51</v>
      </c>
      <c r="C277" s="4" t="s">
        <v>72</v>
      </c>
      <c r="D277" s="4" t="s">
        <v>53</v>
      </c>
      <c r="E277">
        <v>8</v>
      </c>
      <c r="F277">
        <v>4185</v>
      </c>
      <c r="G277">
        <v>0</v>
      </c>
    </row>
    <row r="278" spans="1:7" x14ac:dyDescent="0.25">
      <c r="A278" s="5">
        <v>43583</v>
      </c>
      <c r="B278" s="4" t="s">
        <v>51</v>
      </c>
      <c r="C278" s="4" t="s">
        <v>72</v>
      </c>
      <c r="D278" s="4" t="s">
        <v>56</v>
      </c>
      <c r="E278">
        <v>54</v>
      </c>
      <c r="F278">
        <v>27000</v>
      </c>
      <c r="G278">
        <v>15000</v>
      </c>
    </row>
    <row r="279" spans="1:7" x14ac:dyDescent="0.25">
      <c r="A279" s="5">
        <v>43585</v>
      </c>
      <c r="B279" s="4" t="s">
        <v>51</v>
      </c>
      <c r="C279" s="4" t="s">
        <v>72</v>
      </c>
      <c r="D279" s="4" t="s">
        <v>58</v>
      </c>
      <c r="E279">
        <v>59</v>
      </c>
      <c r="F279">
        <v>29600</v>
      </c>
      <c r="G279">
        <v>0</v>
      </c>
    </row>
    <row r="280" spans="1:7" x14ac:dyDescent="0.25">
      <c r="A280" s="5">
        <v>43585</v>
      </c>
      <c r="B280" s="4" t="s">
        <v>51</v>
      </c>
      <c r="C280" s="4" t="s">
        <v>72</v>
      </c>
      <c r="D280" s="4" t="s">
        <v>55</v>
      </c>
      <c r="E280">
        <v>44</v>
      </c>
      <c r="F280">
        <v>22230</v>
      </c>
      <c r="G280">
        <v>0</v>
      </c>
    </row>
    <row r="281" spans="1:7" x14ac:dyDescent="0.25">
      <c r="A281" s="5">
        <v>43559</v>
      </c>
      <c r="B281" s="4" t="s">
        <v>51</v>
      </c>
      <c r="C281" s="4" t="s">
        <v>73</v>
      </c>
      <c r="D281" s="4" t="s">
        <v>64</v>
      </c>
      <c r="E281">
        <v>505</v>
      </c>
      <c r="F281">
        <v>252695</v>
      </c>
      <c r="G281">
        <v>0</v>
      </c>
    </row>
    <row r="282" spans="1:7" x14ac:dyDescent="0.25">
      <c r="A282" s="5">
        <v>43559</v>
      </c>
      <c r="B282" s="4" t="s">
        <v>51</v>
      </c>
      <c r="C282" s="4" t="s">
        <v>73</v>
      </c>
      <c r="D282" s="4" t="s">
        <v>61</v>
      </c>
      <c r="E282">
        <v>635</v>
      </c>
      <c r="F282">
        <v>317455</v>
      </c>
      <c r="G282">
        <v>0</v>
      </c>
    </row>
    <row r="283" spans="1:7" x14ac:dyDescent="0.25">
      <c r="A283" s="5">
        <v>43559</v>
      </c>
      <c r="B283" s="4" t="s">
        <v>51</v>
      </c>
      <c r="C283" s="4" t="s">
        <v>73</v>
      </c>
      <c r="D283" s="4" t="s">
        <v>61</v>
      </c>
      <c r="E283">
        <v>250</v>
      </c>
      <c r="F283">
        <v>125195</v>
      </c>
      <c r="G283">
        <v>59000</v>
      </c>
    </row>
    <row r="284" spans="1:7" x14ac:dyDescent="0.25">
      <c r="A284" s="5">
        <v>43559</v>
      </c>
      <c r="B284" s="4" t="s">
        <v>51</v>
      </c>
      <c r="C284" s="4" t="s">
        <v>73</v>
      </c>
      <c r="D284" s="4" t="s">
        <v>54</v>
      </c>
      <c r="E284">
        <v>1453</v>
      </c>
      <c r="F284">
        <v>726325</v>
      </c>
      <c r="G284">
        <v>10000</v>
      </c>
    </row>
    <row r="285" spans="1:7" x14ac:dyDescent="0.25">
      <c r="A285" s="5">
        <v>43559</v>
      </c>
      <c r="B285" s="4" t="s">
        <v>51</v>
      </c>
      <c r="C285" s="4" t="s">
        <v>73</v>
      </c>
      <c r="D285" s="4" t="s">
        <v>71</v>
      </c>
      <c r="E285">
        <v>74</v>
      </c>
      <c r="F285">
        <v>37225</v>
      </c>
      <c r="G285">
        <v>0</v>
      </c>
    </row>
    <row r="286" spans="1:7" x14ac:dyDescent="0.25">
      <c r="A286" s="5">
        <v>43559</v>
      </c>
      <c r="B286" s="4" t="s">
        <v>51</v>
      </c>
      <c r="C286" s="4" t="s">
        <v>73</v>
      </c>
      <c r="D286" s="4" t="s">
        <v>57</v>
      </c>
      <c r="E286">
        <v>189</v>
      </c>
      <c r="F286">
        <v>94300</v>
      </c>
      <c r="G286">
        <v>0</v>
      </c>
    </row>
    <row r="287" spans="1:7" x14ac:dyDescent="0.25">
      <c r="A287" s="5">
        <v>43559</v>
      </c>
      <c r="B287" s="4" t="s">
        <v>51</v>
      </c>
      <c r="C287" s="4" t="s">
        <v>73</v>
      </c>
      <c r="D287" s="4" t="s">
        <v>57</v>
      </c>
      <c r="E287">
        <v>1050</v>
      </c>
      <c r="F287">
        <v>525170</v>
      </c>
      <c r="G287">
        <v>0</v>
      </c>
    </row>
    <row r="288" spans="1:7" x14ac:dyDescent="0.25">
      <c r="A288" s="5">
        <v>43559</v>
      </c>
      <c r="B288" s="4" t="s">
        <v>51</v>
      </c>
      <c r="C288" s="4" t="s">
        <v>73</v>
      </c>
      <c r="D288" s="4" t="s">
        <v>57</v>
      </c>
      <c r="E288">
        <v>122</v>
      </c>
      <c r="F288">
        <v>60870</v>
      </c>
      <c r="G288">
        <v>2000</v>
      </c>
    </row>
    <row r="289" spans="1:7" x14ac:dyDescent="0.25">
      <c r="A289" s="5">
        <v>43559</v>
      </c>
      <c r="B289" s="4" t="s">
        <v>51</v>
      </c>
      <c r="C289" s="4" t="s">
        <v>73</v>
      </c>
      <c r="D289" s="4" t="s">
        <v>64</v>
      </c>
      <c r="E289">
        <v>2044</v>
      </c>
      <c r="F289">
        <v>1022065</v>
      </c>
      <c r="G289">
        <v>0</v>
      </c>
    </row>
    <row r="290" spans="1:7" x14ac:dyDescent="0.25">
      <c r="A290" s="5">
        <v>43559</v>
      </c>
      <c r="B290" s="4" t="s">
        <v>51</v>
      </c>
      <c r="C290" s="4" t="s">
        <v>73</v>
      </c>
      <c r="D290" s="4" t="s">
        <v>62</v>
      </c>
      <c r="E290">
        <v>139</v>
      </c>
      <c r="F290">
        <v>69255</v>
      </c>
      <c r="G290">
        <v>0</v>
      </c>
    </row>
    <row r="291" spans="1:7" x14ac:dyDescent="0.25">
      <c r="A291" s="5">
        <v>43559</v>
      </c>
      <c r="B291" s="4" t="s">
        <v>51</v>
      </c>
      <c r="C291" s="4" t="s">
        <v>73</v>
      </c>
      <c r="D291" s="4" t="s">
        <v>58</v>
      </c>
      <c r="E291">
        <v>116</v>
      </c>
      <c r="F291">
        <v>57875</v>
      </c>
      <c r="G291">
        <v>20000</v>
      </c>
    </row>
    <row r="292" spans="1:7" x14ac:dyDescent="0.25">
      <c r="A292" s="5">
        <v>43559</v>
      </c>
      <c r="B292" s="4" t="s">
        <v>51</v>
      </c>
      <c r="C292" s="4" t="s">
        <v>73</v>
      </c>
      <c r="D292" s="4" t="s">
        <v>56</v>
      </c>
      <c r="E292">
        <v>193</v>
      </c>
      <c r="F292">
        <v>96630</v>
      </c>
      <c r="G292">
        <v>0</v>
      </c>
    </row>
    <row r="293" spans="1:7" x14ac:dyDescent="0.25">
      <c r="A293" s="5">
        <v>43559</v>
      </c>
      <c r="B293" s="4" t="s">
        <v>51</v>
      </c>
      <c r="C293" s="4" t="s">
        <v>73</v>
      </c>
      <c r="D293" s="4" t="s">
        <v>55</v>
      </c>
      <c r="E293">
        <v>759</v>
      </c>
      <c r="F293">
        <v>379310</v>
      </c>
      <c r="G293">
        <v>0</v>
      </c>
    </row>
    <row r="294" spans="1:7" x14ac:dyDescent="0.25">
      <c r="A294" s="5">
        <v>43559</v>
      </c>
      <c r="B294" s="4" t="s">
        <v>51</v>
      </c>
      <c r="C294" s="4" t="s">
        <v>73</v>
      </c>
      <c r="D294" s="4" t="s">
        <v>66</v>
      </c>
      <c r="E294">
        <v>539</v>
      </c>
      <c r="F294">
        <v>269280</v>
      </c>
      <c r="G294">
        <v>0</v>
      </c>
    </row>
    <row r="295" spans="1:7" x14ac:dyDescent="0.25">
      <c r="A295" s="5">
        <v>43559</v>
      </c>
      <c r="B295" s="4" t="s">
        <v>51</v>
      </c>
      <c r="C295" s="4" t="s">
        <v>73</v>
      </c>
      <c r="D295" s="4" t="s">
        <v>69</v>
      </c>
      <c r="E295">
        <v>61</v>
      </c>
      <c r="F295">
        <v>30325</v>
      </c>
      <c r="G295">
        <v>15000</v>
      </c>
    </row>
    <row r="296" spans="1:7" x14ac:dyDescent="0.25">
      <c r="A296" s="5">
        <v>43559</v>
      </c>
      <c r="B296" s="4" t="s">
        <v>51</v>
      </c>
      <c r="C296" s="4" t="s">
        <v>73</v>
      </c>
      <c r="D296" s="4" t="s">
        <v>64</v>
      </c>
      <c r="E296">
        <v>3300</v>
      </c>
      <c r="F296">
        <v>1649985</v>
      </c>
      <c r="G296">
        <v>0</v>
      </c>
    </row>
    <row r="297" spans="1:7" x14ac:dyDescent="0.25">
      <c r="A297" s="5">
        <v>43559</v>
      </c>
      <c r="B297" s="4" t="s">
        <v>51</v>
      </c>
      <c r="C297" s="4" t="s">
        <v>73</v>
      </c>
      <c r="D297" s="4" t="s">
        <v>70</v>
      </c>
      <c r="E297">
        <v>22</v>
      </c>
      <c r="F297">
        <v>10880</v>
      </c>
      <c r="G297">
        <v>5000</v>
      </c>
    </row>
    <row r="298" spans="1:7" x14ac:dyDescent="0.25">
      <c r="A298" s="5">
        <v>43559</v>
      </c>
      <c r="B298" s="4" t="s">
        <v>51</v>
      </c>
      <c r="C298" s="4" t="s">
        <v>73</v>
      </c>
      <c r="D298" s="4" t="s">
        <v>63</v>
      </c>
      <c r="E298">
        <v>254</v>
      </c>
      <c r="F298">
        <v>126980</v>
      </c>
      <c r="G298">
        <v>16000</v>
      </c>
    </row>
    <row r="299" spans="1:7" x14ac:dyDescent="0.25">
      <c r="A299" s="5">
        <v>43559</v>
      </c>
      <c r="B299" s="4" t="s">
        <v>51</v>
      </c>
      <c r="C299" s="4" t="s">
        <v>73</v>
      </c>
      <c r="D299" s="4" t="s">
        <v>57</v>
      </c>
      <c r="E299">
        <v>551</v>
      </c>
      <c r="F299">
        <v>275635</v>
      </c>
      <c r="G299">
        <v>26000</v>
      </c>
    </row>
    <row r="300" spans="1:7" x14ac:dyDescent="0.25">
      <c r="A300" s="5">
        <v>43559</v>
      </c>
      <c r="B300" s="4" t="s">
        <v>51</v>
      </c>
      <c r="C300" s="4" t="s">
        <v>73</v>
      </c>
      <c r="D300" s="4" t="s">
        <v>61</v>
      </c>
      <c r="E300">
        <v>493</v>
      </c>
      <c r="F300">
        <v>246420</v>
      </c>
      <c r="G300">
        <v>0</v>
      </c>
    </row>
    <row r="301" spans="1:7" x14ac:dyDescent="0.25">
      <c r="A301" s="5">
        <v>43559</v>
      </c>
      <c r="B301" s="4" t="s">
        <v>51</v>
      </c>
      <c r="C301" s="4" t="s">
        <v>73</v>
      </c>
      <c r="D301" s="4" t="s">
        <v>55</v>
      </c>
      <c r="E301">
        <v>32</v>
      </c>
      <c r="F301">
        <v>16095</v>
      </c>
      <c r="G301">
        <v>0</v>
      </c>
    </row>
    <row r="302" spans="1:7" x14ac:dyDescent="0.25">
      <c r="A302" s="5">
        <v>43559</v>
      </c>
      <c r="B302" s="4" t="s">
        <v>51</v>
      </c>
      <c r="C302" s="4" t="s">
        <v>73</v>
      </c>
      <c r="D302" s="4" t="s">
        <v>57</v>
      </c>
      <c r="E302">
        <v>366</v>
      </c>
      <c r="F302">
        <v>182920</v>
      </c>
      <c r="G302">
        <v>0</v>
      </c>
    </row>
    <row r="303" spans="1:7" x14ac:dyDescent="0.25">
      <c r="A303" s="5">
        <v>43559</v>
      </c>
      <c r="B303" s="4" t="s">
        <v>51</v>
      </c>
      <c r="C303" s="4" t="s">
        <v>73</v>
      </c>
      <c r="D303" s="4" t="s">
        <v>54</v>
      </c>
      <c r="E303">
        <v>222</v>
      </c>
      <c r="F303">
        <v>110810</v>
      </c>
      <c r="G303">
        <v>0</v>
      </c>
    </row>
    <row r="304" spans="1:7" x14ac:dyDescent="0.25">
      <c r="A304" s="5">
        <v>43559</v>
      </c>
      <c r="B304" s="4" t="s">
        <v>51</v>
      </c>
      <c r="C304" s="4" t="s">
        <v>73</v>
      </c>
      <c r="D304" s="4" t="s">
        <v>61</v>
      </c>
      <c r="E304">
        <v>191</v>
      </c>
      <c r="F304">
        <v>95420</v>
      </c>
      <c r="G304">
        <v>10000</v>
      </c>
    </row>
    <row r="305" spans="1:7" x14ac:dyDescent="0.25">
      <c r="A305" s="5">
        <v>43559</v>
      </c>
      <c r="B305" s="4" t="s">
        <v>51</v>
      </c>
      <c r="C305" s="4" t="s">
        <v>73</v>
      </c>
      <c r="D305" s="4" t="s">
        <v>57</v>
      </c>
      <c r="E305">
        <v>140</v>
      </c>
      <c r="F305">
        <v>69885</v>
      </c>
      <c r="G305">
        <v>0</v>
      </c>
    </row>
    <row r="306" spans="1:7" x14ac:dyDescent="0.25">
      <c r="A306" s="5">
        <v>43559</v>
      </c>
      <c r="B306" s="4" t="s">
        <v>51</v>
      </c>
      <c r="C306" s="4" t="s">
        <v>73</v>
      </c>
      <c r="D306" s="4" t="s">
        <v>60</v>
      </c>
      <c r="E306">
        <v>58</v>
      </c>
      <c r="F306">
        <v>29000</v>
      </c>
      <c r="G306">
        <v>0</v>
      </c>
    </row>
    <row r="307" spans="1:7" x14ac:dyDescent="0.25">
      <c r="A307" s="5">
        <v>43566</v>
      </c>
      <c r="B307" s="4" t="s">
        <v>51</v>
      </c>
      <c r="C307" s="4" t="s">
        <v>73</v>
      </c>
      <c r="D307" s="4" t="s">
        <v>64</v>
      </c>
      <c r="E307">
        <v>207</v>
      </c>
      <c r="F307">
        <v>103350</v>
      </c>
      <c r="G307">
        <v>50000</v>
      </c>
    </row>
    <row r="308" spans="1:7" x14ac:dyDescent="0.25">
      <c r="A308" s="5">
        <v>43566</v>
      </c>
      <c r="B308" s="4" t="s">
        <v>51</v>
      </c>
      <c r="C308" s="4" t="s">
        <v>73</v>
      </c>
      <c r="D308" s="4" t="s">
        <v>64</v>
      </c>
      <c r="E308">
        <v>652</v>
      </c>
      <c r="F308">
        <v>326165</v>
      </c>
      <c r="G308">
        <v>170000</v>
      </c>
    </row>
    <row r="309" spans="1:7" x14ac:dyDescent="0.25">
      <c r="A309" s="5">
        <v>43566</v>
      </c>
      <c r="B309" s="4" t="s">
        <v>51</v>
      </c>
      <c r="C309" s="4" t="s">
        <v>73</v>
      </c>
      <c r="D309" s="4" t="s">
        <v>53</v>
      </c>
      <c r="E309">
        <v>387</v>
      </c>
      <c r="F309">
        <v>193375</v>
      </c>
      <c r="G309">
        <v>0</v>
      </c>
    </row>
    <row r="310" spans="1:7" x14ac:dyDescent="0.25">
      <c r="A310" s="5">
        <v>43566</v>
      </c>
      <c r="B310" s="4" t="s">
        <v>51</v>
      </c>
      <c r="C310" s="4" t="s">
        <v>73</v>
      </c>
      <c r="D310" s="4" t="s">
        <v>57</v>
      </c>
      <c r="E310">
        <v>320</v>
      </c>
      <c r="F310">
        <v>160080</v>
      </c>
      <c r="G310">
        <v>50000</v>
      </c>
    </row>
    <row r="311" spans="1:7" x14ac:dyDescent="0.25">
      <c r="A311" s="5">
        <v>43566</v>
      </c>
      <c r="B311" s="4" t="s">
        <v>51</v>
      </c>
      <c r="C311" s="4" t="s">
        <v>73</v>
      </c>
      <c r="D311" s="4" t="s">
        <v>61</v>
      </c>
      <c r="E311">
        <v>201</v>
      </c>
      <c r="F311">
        <v>100350</v>
      </c>
      <c r="G311">
        <v>90000</v>
      </c>
    </row>
    <row r="312" spans="1:7" x14ac:dyDescent="0.25">
      <c r="A312" s="5">
        <v>43566</v>
      </c>
      <c r="B312" s="4" t="s">
        <v>51</v>
      </c>
      <c r="C312" s="4" t="s">
        <v>73</v>
      </c>
      <c r="D312" s="4" t="s">
        <v>57</v>
      </c>
      <c r="E312">
        <v>94</v>
      </c>
      <c r="F312">
        <v>47190</v>
      </c>
      <c r="G312">
        <v>80000</v>
      </c>
    </row>
    <row r="313" spans="1:7" x14ac:dyDescent="0.25">
      <c r="A313" s="5">
        <v>43566</v>
      </c>
      <c r="B313" s="4" t="s">
        <v>51</v>
      </c>
      <c r="C313" s="4" t="s">
        <v>73</v>
      </c>
      <c r="D313" s="4" t="s">
        <v>56</v>
      </c>
      <c r="E313">
        <v>193</v>
      </c>
      <c r="F313">
        <v>96610</v>
      </c>
      <c r="G313">
        <v>20000</v>
      </c>
    </row>
    <row r="314" spans="1:7" x14ac:dyDescent="0.25">
      <c r="A314" s="5">
        <v>43566</v>
      </c>
      <c r="B314" s="4" t="s">
        <v>51</v>
      </c>
      <c r="C314" s="4" t="s">
        <v>73</v>
      </c>
      <c r="D314" s="4" t="s">
        <v>57</v>
      </c>
      <c r="E314">
        <v>257</v>
      </c>
      <c r="F314">
        <v>128620</v>
      </c>
      <c r="G314">
        <v>0</v>
      </c>
    </row>
    <row r="315" spans="1:7" x14ac:dyDescent="0.25">
      <c r="A315" s="5">
        <v>43566</v>
      </c>
      <c r="B315" s="4" t="s">
        <v>51</v>
      </c>
      <c r="C315" s="4" t="s">
        <v>73</v>
      </c>
      <c r="D315" s="4" t="s">
        <v>55</v>
      </c>
      <c r="E315">
        <v>153</v>
      </c>
      <c r="F315">
        <v>76625</v>
      </c>
      <c r="G315">
        <v>1000</v>
      </c>
    </row>
    <row r="316" spans="1:7" x14ac:dyDescent="0.25">
      <c r="A316" s="5">
        <v>43566</v>
      </c>
      <c r="B316" s="4" t="s">
        <v>51</v>
      </c>
      <c r="C316" s="4" t="s">
        <v>73</v>
      </c>
      <c r="D316" s="4" t="s">
        <v>62</v>
      </c>
      <c r="E316">
        <v>237</v>
      </c>
      <c r="F316">
        <v>118665</v>
      </c>
      <c r="G316">
        <v>0</v>
      </c>
    </row>
    <row r="317" spans="1:7" x14ac:dyDescent="0.25">
      <c r="A317" s="5">
        <v>43566</v>
      </c>
      <c r="B317" s="4" t="s">
        <v>51</v>
      </c>
      <c r="C317" s="4" t="s">
        <v>73</v>
      </c>
      <c r="D317" s="4" t="s">
        <v>70</v>
      </c>
      <c r="E317">
        <v>67</v>
      </c>
      <c r="F317">
        <v>33480</v>
      </c>
      <c r="G317">
        <v>0</v>
      </c>
    </row>
    <row r="318" spans="1:7" x14ac:dyDescent="0.25">
      <c r="A318" s="5">
        <v>43566</v>
      </c>
      <c r="B318" s="4" t="s">
        <v>51</v>
      </c>
      <c r="C318" s="4" t="s">
        <v>73</v>
      </c>
      <c r="D318" s="4" t="s">
        <v>56</v>
      </c>
      <c r="E318">
        <v>177</v>
      </c>
      <c r="F318">
        <v>88620</v>
      </c>
      <c r="G318">
        <v>50000</v>
      </c>
    </row>
    <row r="319" spans="1:7" x14ac:dyDescent="0.25">
      <c r="A319" s="5">
        <v>43566</v>
      </c>
      <c r="B319" s="4" t="s">
        <v>51</v>
      </c>
      <c r="C319" s="4" t="s">
        <v>73</v>
      </c>
      <c r="D319" s="4" t="s">
        <v>64</v>
      </c>
      <c r="E319">
        <v>2519</v>
      </c>
      <c r="F319">
        <v>1259305</v>
      </c>
      <c r="G319">
        <v>400000</v>
      </c>
    </row>
    <row r="320" spans="1:7" x14ac:dyDescent="0.25">
      <c r="A320" s="5">
        <v>43566</v>
      </c>
      <c r="B320" s="4" t="s">
        <v>51</v>
      </c>
      <c r="C320" s="4" t="s">
        <v>73</v>
      </c>
      <c r="D320" s="4" t="s">
        <v>61</v>
      </c>
      <c r="E320">
        <v>29</v>
      </c>
      <c r="F320">
        <v>14395</v>
      </c>
      <c r="G320">
        <v>50000</v>
      </c>
    </row>
    <row r="321" spans="1:7" x14ac:dyDescent="0.25">
      <c r="A321" s="5">
        <v>43566</v>
      </c>
      <c r="B321" s="4" t="s">
        <v>51</v>
      </c>
      <c r="C321" s="4" t="s">
        <v>73</v>
      </c>
      <c r="D321" s="4" t="s">
        <v>69</v>
      </c>
      <c r="E321">
        <v>588</v>
      </c>
      <c r="F321">
        <v>294225</v>
      </c>
      <c r="G321">
        <v>300000</v>
      </c>
    </row>
    <row r="322" spans="1:7" x14ac:dyDescent="0.25">
      <c r="A322" s="5">
        <v>43566</v>
      </c>
      <c r="B322" s="4" t="s">
        <v>51</v>
      </c>
      <c r="C322" s="4" t="s">
        <v>73</v>
      </c>
      <c r="D322" s="4" t="s">
        <v>54</v>
      </c>
      <c r="E322">
        <v>355</v>
      </c>
      <c r="F322">
        <v>177530</v>
      </c>
      <c r="G322">
        <v>940</v>
      </c>
    </row>
    <row r="323" spans="1:7" x14ac:dyDescent="0.25">
      <c r="A323" s="5">
        <v>43566</v>
      </c>
      <c r="B323" s="4" t="s">
        <v>51</v>
      </c>
      <c r="C323" s="4" t="s">
        <v>73</v>
      </c>
      <c r="D323" s="4" t="s">
        <v>54</v>
      </c>
      <c r="E323">
        <v>439</v>
      </c>
      <c r="F323">
        <v>219670</v>
      </c>
      <c r="G323">
        <v>0</v>
      </c>
    </row>
    <row r="324" spans="1:7" x14ac:dyDescent="0.25">
      <c r="A324" s="5">
        <v>43566</v>
      </c>
      <c r="B324" s="4" t="s">
        <v>51</v>
      </c>
      <c r="C324" s="4" t="s">
        <v>73</v>
      </c>
      <c r="D324" s="4" t="s">
        <v>67</v>
      </c>
      <c r="E324">
        <v>285</v>
      </c>
      <c r="F324">
        <v>142590</v>
      </c>
      <c r="G324">
        <v>50000</v>
      </c>
    </row>
    <row r="325" spans="1:7" x14ac:dyDescent="0.25">
      <c r="A325" s="5">
        <v>43566</v>
      </c>
      <c r="B325" s="4" t="s">
        <v>51</v>
      </c>
      <c r="C325" s="4" t="s">
        <v>73</v>
      </c>
      <c r="D325" s="4" t="s">
        <v>71</v>
      </c>
      <c r="E325">
        <v>385</v>
      </c>
      <c r="F325">
        <v>192295</v>
      </c>
      <c r="G325">
        <v>60000</v>
      </c>
    </row>
    <row r="326" spans="1:7" x14ac:dyDescent="0.25">
      <c r="A326" s="5">
        <v>43566</v>
      </c>
      <c r="B326" s="4" t="s">
        <v>51</v>
      </c>
      <c r="C326" s="4" t="s">
        <v>73</v>
      </c>
      <c r="D326" s="4" t="s">
        <v>67</v>
      </c>
      <c r="E326">
        <v>40</v>
      </c>
      <c r="F326">
        <v>20075</v>
      </c>
      <c r="G326">
        <v>0</v>
      </c>
    </row>
    <row r="327" spans="1:7" x14ac:dyDescent="0.25">
      <c r="A327" s="5">
        <v>43566</v>
      </c>
      <c r="B327" s="4" t="s">
        <v>51</v>
      </c>
      <c r="C327" s="4" t="s">
        <v>73</v>
      </c>
      <c r="D327" s="4" t="s">
        <v>57</v>
      </c>
      <c r="E327">
        <v>913</v>
      </c>
      <c r="F327">
        <v>456390</v>
      </c>
      <c r="G327">
        <v>0</v>
      </c>
    </row>
    <row r="328" spans="1:7" x14ac:dyDescent="0.25">
      <c r="A328" s="5">
        <v>43573</v>
      </c>
      <c r="B328" s="4" t="s">
        <v>51</v>
      </c>
      <c r="C328" s="4" t="s">
        <v>73</v>
      </c>
      <c r="D328" s="4" t="s">
        <v>71</v>
      </c>
      <c r="E328">
        <v>602</v>
      </c>
      <c r="F328">
        <v>301180</v>
      </c>
      <c r="G328">
        <v>20000</v>
      </c>
    </row>
    <row r="329" spans="1:7" x14ac:dyDescent="0.25">
      <c r="A329" s="5">
        <v>43573</v>
      </c>
      <c r="B329" s="4" t="s">
        <v>51</v>
      </c>
      <c r="C329" s="4" t="s">
        <v>73</v>
      </c>
      <c r="D329" s="4" t="s">
        <v>57</v>
      </c>
      <c r="E329">
        <v>876</v>
      </c>
      <c r="F329">
        <v>437795</v>
      </c>
      <c r="G329">
        <v>100000</v>
      </c>
    </row>
    <row r="330" spans="1:7" x14ac:dyDescent="0.25">
      <c r="A330" s="5">
        <v>43573</v>
      </c>
      <c r="B330" s="4" t="s">
        <v>51</v>
      </c>
      <c r="C330" s="4" t="s">
        <v>73</v>
      </c>
      <c r="D330" s="4" t="s">
        <v>64</v>
      </c>
      <c r="E330">
        <v>200</v>
      </c>
      <c r="F330">
        <v>100055</v>
      </c>
      <c r="G330">
        <v>50000</v>
      </c>
    </row>
    <row r="331" spans="1:7" x14ac:dyDescent="0.25">
      <c r="A331" s="5">
        <v>43573</v>
      </c>
      <c r="B331" s="4" t="s">
        <v>51</v>
      </c>
      <c r="C331" s="4" t="s">
        <v>73</v>
      </c>
      <c r="D331" s="4" t="s">
        <v>61</v>
      </c>
      <c r="E331">
        <v>364</v>
      </c>
      <c r="F331">
        <v>182230</v>
      </c>
      <c r="G331">
        <v>108300</v>
      </c>
    </row>
    <row r="332" spans="1:7" x14ac:dyDescent="0.25">
      <c r="A332" s="5">
        <v>43573</v>
      </c>
      <c r="B332" s="4" t="s">
        <v>51</v>
      </c>
      <c r="C332" s="4" t="s">
        <v>73</v>
      </c>
      <c r="D332" s="4" t="s">
        <v>57</v>
      </c>
      <c r="E332">
        <v>403</v>
      </c>
      <c r="F332">
        <v>201340</v>
      </c>
      <c r="G332">
        <v>50000</v>
      </c>
    </row>
    <row r="333" spans="1:7" x14ac:dyDescent="0.25">
      <c r="A333" s="5">
        <v>43573</v>
      </c>
      <c r="B333" s="4" t="s">
        <v>51</v>
      </c>
      <c r="C333" s="4" t="s">
        <v>73</v>
      </c>
      <c r="D333" s="4" t="s">
        <v>57</v>
      </c>
      <c r="E333">
        <v>39</v>
      </c>
      <c r="F333">
        <v>19430</v>
      </c>
      <c r="G333">
        <v>15000</v>
      </c>
    </row>
    <row r="334" spans="1:7" x14ac:dyDescent="0.25">
      <c r="A334" s="5">
        <v>43573</v>
      </c>
      <c r="B334" s="4" t="s">
        <v>51</v>
      </c>
      <c r="C334" s="4" t="s">
        <v>73</v>
      </c>
      <c r="D334" s="4" t="s">
        <v>57</v>
      </c>
      <c r="E334">
        <v>721</v>
      </c>
      <c r="F334">
        <v>360695</v>
      </c>
      <c r="G334">
        <v>0</v>
      </c>
    </row>
    <row r="335" spans="1:7" x14ac:dyDescent="0.25">
      <c r="A335" s="5">
        <v>43573</v>
      </c>
      <c r="B335" s="4" t="s">
        <v>51</v>
      </c>
      <c r="C335" s="4" t="s">
        <v>73</v>
      </c>
      <c r="D335" s="4" t="s">
        <v>62</v>
      </c>
      <c r="E335">
        <v>99</v>
      </c>
      <c r="F335">
        <v>49610</v>
      </c>
      <c r="G335">
        <v>0</v>
      </c>
    </row>
    <row r="336" spans="1:7" x14ac:dyDescent="0.25">
      <c r="A336" s="5">
        <v>43573</v>
      </c>
      <c r="B336" s="4" t="s">
        <v>51</v>
      </c>
      <c r="C336" s="4" t="s">
        <v>73</v>
      </c>
      <c r="D336" s="4" t="s">
        <v>55</v>
      </c>
      <c r="E336">
        <v>205</v>
      </c>
      <c r="F336">
        <v>102285</v>
      </c>
      <c r="G336">
        <v>50000</v>
      </c>
    </row>
    <row r="337" spans="1:7" x14ac:dyDescent="0.25">
      <c r="A337" s="5">
        <v>43573</v>
      </c>
      <c r="B337" s="4" t="s">
        <v>51</v>
      </c>
      <c r="C337" s="4" t="s">
        <v>73</v>
      </c>
      <c r="D337" s="4" t="s">
        <v>54</v>
      </c>
      <c r="E337">
        <v>87</v>
      </c>
      <c r="F337">
        <v>43650</v>
      </c>
      <c r="G337">
        <v>30000</v>
      </c>
    </row>
    <row r="338" spans="1:7" x14ac:dyDescent="0.25">
      <c r="A338" s="5">
        <v>43573</v>
      </c>
      <c r="B338" s="4" t="s">
        <v>51</v>
      </c>
      <c r="C338" s="4" t="s">
        <v>73</v>
      </c>
      <c r="D338" s="4" t="s">
        <v>54</v>
      </c>
      <c r="E338">
        <v>530</v>
      </c>
      <c r="F338">
        <v>264910</v>
      </c>
      <c r="G338">
        <v>150000</v>
      </c>
    </row>
    <row r="339" spans="1:7" x14ac:dyDescent="0.25">
      <c r="A339" s="5">
        <v>43573</v>
      </c>
      <c r="B339" s="4" t="s">
        <v>51</v>
      </c>
      <c r="C339" s="4" t="s">
        <v>73</v>
      </c>
      <c r="D339" s="4" t="s">
        <v>64</v>
      </c>
      <c r="E339">
        <v>1744</v>
      </c>
      <c r="F339">
        <v>872210</v>
      </c>
      <c r="G339">
        <v>3000</v>
      </c>
    </row>
    <row r="340" spans="1:7" x14ac:dyDescent="0.25">
      <c r="A340" s="5">
        <v>43573</v>
      </c>
      <c r="B340" s="4" t="s">
        <v>51</v>
      </c>
      <c r="C340" s="4" t="s">
        <v>73</v>
      </c>
      <c r="D340" s="4" t="s">
        <v>64</v>
      </c>
      <c r="E340">
        <v>102</v>
      </c>
      <c r="F340">
        <v>51060</v>
      </c>
      <c r="G340">
        <v>55000</v>
      </c>
    </row>
    <row r="341" spans="1:7" x14ac:dyDescent="0.25">
      <c r="A341" s="5">
        <v>43573</v>
      </c>
      <c r="B341" s="4" t="s">
        <v>51</v>
      </c>
      <c r="C341" s="4" t="s">
        <v>73</v>
      </c>
      <c r="D341" s="4" t="s">
        <v>55</v>
      </c>
      <c r="E341">
        <v>2167</v>
      </c>
      <c r="F341">
        <v>1083570</v>
      </c>
      <c r="G341">
        <v>0</v>
      </c>
    </row>
    <row r="342" spans="1:7" x14ac:dyDescent="0.25">
      <c r="A342" s="5">
        <v>43573</v>
      </c>
      <c r="B342" s="4" t="s">
        <v>51</v>
      </c>
      <c r="C342" s="4" t="s">
        <v>73</v>
      </c>
      <c r="D342" s="4" t="s">
        <v>54</v>
      </c>
      <c r="E342">
        <v>139</v>
      </c>
      <c r="F342">
        <v>69625</v>
      </c>
      <c r="G342">
        <v>0</v>
      </c>
    </row>
    <row r="343" spans="1:7" x14ac:dyDescent="0.25">
      <c r="A343" s="5">
        <v>43573</v>
      </c>
      <c r="B343" s="4" t="s">
        <v>51</v>
      </c>
      <c r="C343" s="4" t="s">
        <v>73</v>
      </c>
      <c r="D343" s="4" t="s">
        <v>54</v>
      </c>
      <c r="E343">
        <v>349</v>
      </c>
      <c r="F343">
        <v>174440</v>
      </c>
      <c r="G343">
        <v>0</v>
      </c>
    </row>
    <row r="344" spans="1:7" x14ac:dyDescent="0.25">
      <c r="A344" s="5">
        <v>43573</v>
      </c>
      <c r="B344" s="4" t="s">
        <v>51</v>
      </c>
      <c r="C344" s="4" t="s">
        <v>73</v>
      </c>
      <c r="D344" s="4" t="s">
        <v>61</v>
      </c>
      <c r="E344">
        <v>2326</v>
      </c>
      <c r="F344">
        <v>1163230</v>
      </c>
      <c r="G344">
        <v>0</v>
      </c>
    </row>
    <row r="345" spans="1:7" x14ac:dyDescent="0.25">
      <c r="A345" s="5">
        <v>43581</v>
      </c>
      <c r="B345" s="4" t="s">
        <v>51</v>
      </c>
      <c r="C345" s="4" t="s">
        <v>73</v>
      </c>
      <c r="D345" s="4" t="s">
        <v>53</v>
      </c>
      <c r="E345">
        <v>449</v>
      </c>
      <c r="F345">
        <v>224500</v>
      </c>
      <c r="G345">
        <v>0</v>
      </c>
    </row>
    <row r="346" spans="1:7" x14ac:dyDescent="0.25">
      <c r="A346" s="5">
        <v>43581</v>
      </c>
      <c r="B346" s="4" t="s">
        <v>51</v>
      </c>
      <c r="C346" s="4" t="s">
        <v>73</v>
      </c>
      <c r="D346" s="4" t="s">
        <v>64</v>
      </c>
      <c r="E346">
        <v>263</v>
      </c>
      <c r="F346">
        <v>131305</v>
      </c>
      <c r="G346">
        <v>0</v>
      </c>
    </row>
    <row r="347" spans="1:7" x14ac:dyDescent="0.25">
      <c r="A347" s="5">
        <v>43581</v>
      </c>
      <c r="B347" s="4" t="s">
        <v>51</v>
      </c>
      <c r="C347" s="4" t="s">
        <v>73</v>
      </c>
      <c r="D347" s="4" t="s">
        <v>57</v>
      </c>
      <c r="E347">
        <v>434</v>
      </c>
      <c r="F347">
        <v>216950</v>
      </c>
      <c r="G347">
        <v>0</v>
      </c>
    </row>
    <row r="348" spans="1:7" x14ac:dyDescent="0.25">
      <c r="A348" s="5">
        <v>43581</v>
      </c>
      <c r="B348" s="4" t="s">
        <v>51</v>
      </c>
      <c r="C348" s="4" t="s">
        <v>73</v>
      </c>
      <c r="D348" s="4" t="s">
        <v>71</v>
      </c>
      <c r="E348">
        <v>166</v>
      </c>
      <c r="F348">
        <v>82845</v>
      </c>
      <c r="G348">
        <v>0</v>
      </c>
    </row>
    <row r="349" spans="1:7" x14ac:dyDescent="0.25">
      <c r="A349" s="5">
        <v>43581</v>
      </c>
      <c r="B349" s="4" t="s">
        <v>51</v>
      </c>
      <c r="C349" s="4" t="s">
        <v>73</v>
      </c>
      <c r="D349" s="4" t="s">
        <v>57</v>
      </c>
      <c r="E349">
        <v>201</v>
      </c>
      <c r="F349">
        <v>100300</v>
      </c>
      <c r="G349">
        <v>0</v>
      </c>
    </row>
    <row r="350" spans="1:7" x14ac:dyDescent="0.25">
      <c r="A350" s="5">
        <v>43581</v>
      </c>
      <c r="B350" s="4" t="s">
        <v>51</v>
      </c>
      <c r="C350" s="4" t="s">
        <v>73</v>
      </c>
      <c r="D350" s="4" t="s">
        <v>57</v>
      </c>
      <c r="E350">
        <v>361</v>
      </c>
      <c r="F350">
        <v>180630</v>
      </c>
      <c r="G350">
        <v>50000</v>
      </c>
    </row>
    <row r="351" spans="1:7" x14ac:dyDescent="0.25">
      <c r="A351" s="5">
        <v>43581</v>
      </c>
      <c r="B351" s="4" t="s">
        <v>51</v>
      </c>
      <c r="C351" s="4" t="s">
        <v>73</v>
      </c>
      <c r="D351" s="4" t="s">
        <v>60</v>
      </c>
      <c r="E351">
        <v>90</v>
      </c>
      <c r="F351">
        <v>45225</v>
      </c>
      <c r="G351">
        <v>45200</v>
      </c>
    </row>
    <row r="352" spans="1:7" x14ac:dyDescent="0.25">
      <c r="A352" s="5">
        <v>43581</v>
      </c>
      <c r="B352" s="4" t="s">
        <v>51</v>
      </c>
      <c r="C352" s="4" t="s">
        <v>73</v>
      </c>
      <c r="D352" s="4" t="s">
        <v>61</v>
      </c>
      <c r="E352">
        <v>82</v>
      </c>
      <c r="F352">
        <v>41140</v>
      </c>
      <c r="G352">
        <v>0</v>
      </c>
    </row>
    <row r="353" spans="1:7" x14ac:dyDescent="0.25">
      <c r="A353" s="5">
        <v>43581</v>
      </c>
      <c r="B353" s="4" t="s">
        <v>51</v>
      </c>
      <c r="C353" s="4" t="s">
        <v>73</v>
      </c>
      <c r="D353" s="4" t="s">
        <v>57</v>
      </c>
      <c r="E353">
        <v>2352</v>
      </c>
      <c r="F353">
        <v>1176030</v>
      </c>
      <c r="G353">
        <v>175000</v>
      </c>
    </row>
    <row r="354" spans="1:7" x14ac:dyDescent="0.25">
      <c r="A354" s="5">
        <v>43581</v>
      </c>
      <c r="B354" s="4" t="s">
        <v>51</v>
      </c>
      <c r="C354" s="4" t="s">
        <v>73</v>
      </c>
      <c r="D354" s="4" t="s">
        <v>62</v>
      </c>
      <c r="E354">
        <v>342</v>
      </c>
      <c r="F354">
        <v>171030</v>
      </c>
      <c r="G354">
        <v>0</v>
      </c>
    </row>
    <row r="355" spans="1:7" x14ac:dyDescent="0.25">
      <c r="A355" s="5">
        <v>43581</v>
      </c>
      <c r="B355" s="4" t="s">
        <v>51</v>
      </c>
      <c r="C355" s="4" t="s">
        <v>73</v>
      </c>
      <c r="D355" s="4" t="s">
        <v>55</v>
      </c>
      <c r="E355">
        <v>324</v>
      </c>
      <c r="F355">
        <v>161855</v>
      </c>
      <c r="G355">
        <v>103993</v>
      </c>
    </row>
    <row r="356" spans="1:7" x14ac:dyDescent="0.25">
      <c r="A356" s="5">
        <v>43581</v>
      </c>
      <c r="B356" s="4" t="s">
        <v>51</v>
      </c>
      <c r="C356" s="4" t="s">
        <v>73</v>
      </c>
      <c r="D356" s="4" t="s">
        <v>58</v>
      </c>
      <c r="E356">
        <v>681</v>
      </c>
      <c r="F356">
        <v>340350</v>
      </c>
      <c r="G356">
        <v>30000</v>
      </c>
    </row>
    <row r="357" spans="1:7" x14ac:dyDescent="0.25">
      <c r="A357" s="5">
        <v>43581</v>
      </c>
      <c r="B357" s="4" t="s">
        <v>51</v>
      </c>
      <c r="C357" s="4" t="s">
        <v>73</v>
      </c>
      <c r="D357" s="4" t="s">
        <v>56</v>
      </c>
      <c r="E357">
        <v>615</v>
      </c>
      <c r="F357">
        <v>307280</v>
      </c>
      <c r="G357">
        <v>0</v>
      </c>
    </row>
    <row r="358" spans="1:7" x14ac:dyDescent="0.25">
      <c r="A358" s="5">
        <v>43581</v>
      </c>
      <c r="B358" s="4" t="s">
        <v>51</v>
      </c>
      <c r="C358" s="4" t="s">
        <v>73</v>
      </c>
      <c r="D358" s="4" t="s">
        <v>64</v>
      </c>
      <c r="E358">
        <v>963</v>
      </c>
      <c r="F358">
        <v>481535</v>
      </c>
      <c r="G358">
        <v>0</v>
      </c>
    </row>
    <row r="359" spans="1:7" x14ac:dyDescent="0.25">
      <c r="A359" s="5">
        <v>43581</v>
      </c>
      <c r="B359" s="4" t="s">
        <v>51</v>
      </c>
      <c r="C359" s="4" t="s">
        <v>73</v>
      </c>
      <c r="D359" s="4" t="s">
        <v>54</v>
      </c>
      <c r="E359">
        <v>202</v>
      </c>
      <c r="F359">
        <v>100995</v>
      </c>
      <c r="G359">
        <v>0</v>
      </c>
    </row>
    <row r="360" spans="1:7" x14ac:dyDescent="0.25">
      <c r="A360" s="5">
        <v>43581</v>
      </c>
      <c r="B360" s="4" t="s">
        <v>51</v>
      </c>
      <c r="C360" s="4" t="s">
        <v>73</v>
      </c>
      <c r="D360" s="4" t="s">
        <v>64</v>
      </c>
      <c r="E360">
        <v>932</v>
      </c>
      <c r="F360">
        <v>465950</v>
      </c>
      <c r="G360">
        <v>0</v>
      </c>
    </row>
    <row r="361" spans="1:7" x14ac:dyDescent="0.25">
      <c r="A361" s="5">
        <v>43581</v>
      </c>
      <c r="B361" s="4" t="s">
        <v>51</v>
      </c>
      <c r="C361" s="4" t="s">
        <v>73</v>
      </c>
      <c r="D361" s="4" t="s">
        <v>70</v>
      </c>
      <c r="E361">
        <v>70</v>
      </c>
      <c r="F361">
        <v>35130</v>
      </c>
      <c r="G361">
        <v>0</v>
      </c>
    </row>
    <row r="362" spans="1:7" x14ac:dyDescent="0.25">
      <c r="A362" s="5">
        <v>43581</v>
      </c>
      <c r="B362" s="4" t="s">
        <v>51</v>
      </c>
      <c r="C362" s="4" t="s">
        <v>73</v>
      </c>
      <c r="D362" s="4" t="s">
        <v>63</v>
      </c>
      <c r="E362">
        <v>76</v>
      </c>
      <c r="F362">
        <v>37965</v>
      </c>
      <c r="G362">
        <v>0</v>
      </c>
    </row>
    <row r="363" spans="1:7" x14ac:dyDescent="0.25">
      <c r="A363" s="5">
        <v>43581</v>
      </c>
      <c r="B363" s="4" t="s">
        <v>51</v>
      </c>
      <c r="C363" s="4" t="s">
        <v>73</v>
      </c>
      <c r="D363" s="4" t="s">
        <v>61</v>
      </c>
      <c r="E363">
        <v>66</v>
      </c>
      <c r="F363">
        <v>32830</v>
      </c>
      <c r="G363">
        <v>0</v>
      </c>
    </row>
    <row r="364" spans="1:7" x14ac:dyDescent="0.25">
      <c r="A364" s="5">
        <v>43581</v>
      </c>
      <c r="B364" s="4" t="s">
        <v>51</v>
      </c>
      <c r="C364" s="4" t="s">
        <v>73</v>
      </c>
      <c r="D364" s="4" t="s">
        <v>57</v>
      </c>
      <c r="E364">
        <v>324</v>
      </c>
      <c r="F364">
        <v>161980</v>
      </c>
      <c r="G364">
        <v>0</v>
      </c>
    </row>
    <row r="365" spans="1:7" x14ac:dyDescent="0.25">
      <c r="A365" s="5">
        <v>43581</v>
      </c>
      <c r="B365" s="4" t="s">
        <v>51</v>
      </c>
      <c r="C365" s="4" t="s">
        <v>73</v>
      </c>
      <c r="D365" s="4" t="s">
        <v>57</v>
      </c>
      <c r="E365">
        <v>201</v>
      </c>
      <c r="F365">
        <v>100385</v>
      </c>
      <c r="G365">
        <v>0</v>
      </c>
    </row>
    <row r="366" spans="1:7" x14ac:dyDescent="0.25">
      <c r="A366" s="5">
        <v>43581</v>
      </c>
      <c r="B366" s="4" t="s">
        <v>51</v>
      </c>
      <c r="C366" s="4" t="s">
        <v>73</v>
      </c>
      <c r="D366" s="4" t="s">
        <v>54</v>
      </c>
      <c r="E366">
        <v>48</v>
      </c>
      <c r="F366">
        <v>23810</v>
      </c>
      <c r="G366">
        <v>0</v>
      </c>
    </row>
    <row r="367" spans="1:7" x14ac:dyDescent="0.25">
      <c r="A367" s="5">
        <v>43581</v>
      </c>
      <c r="B367" s="4" t="s">
        <v>51</v>
      </c>
      <c r="C367" s="4" t="s">
        <v>73</v>
      </c>
      <c r="D367" s="4" t="s">
        <v>66</v>
      </c>
      <c r="E367">
        <v>86</v>
      </c>
      <c r="F367">
        <v>42935</v>
      </c>
      <c r="G367">
        <v>0</v>
      </c>
    </row>
    <row r="368" spans="1:7" x14ac:dyDescent="0.25">
      <c r="A368" s="5">
        <v>43581</v>
      </c>
      <c r="B368" s="4" t="s">
        <v>51</v>
      </c>
      <c r="C368" s="4" t="s">
        <v>73</v>
      </c>
      <c r="D368" s="4" t="s">
        <v>56</v>
      </c>
      <c r="E368">
        <v>356</v>
      </c>
      <c r="F368">
        <v>178185</v>
      </c>
      <c r="G368">
        <v>30000</v>
      </c>
    </row>
    <row r="369" spans="1:7" x14ac:dyDescent="0.25">
      <c r="A369" s="5">
        <v>43497</v>
      </c>
      <c r="B369" s="4" t="s">
        <v>74</v>
      </c>
      <c r="C369" s="4" t="s">
        <v>72</v>
      </c>
      <c r="D369" s="4" t="s">
        <v>55</v>
      </c>
      <c r="E369">
        <v>31</v>
      </c>
      <c r="F369">
        <v>15730</v>
      </c>
      <c r="G369">
        <v>200000</v>
      </c>
    </row>
    <row r="370" spans="1:7" x14ac:dyDescent="0.25">
      <c r="A370" s="5">
        <v>43497</v>
      </c>
      <c r="B370" s="4" t="s">
        <v>74</v>
      </c>
      <c r="C370" s="4" t="s">
        <v>52</v>
      </c>
      <c r="D370" s="4" t="s">
        <v>57</v>
      </c>
      <c r="E370">
        <v>14</v>
      </c>
      <c r="F370">
        <v>6880</v>
      </c>
      <c r="G370">
        <v>200000</v>
      </c>
    </row>
    <row r="371" spans="1:7" x14ac:dyDescent="0.25">
      <c r="A371" s="5">
        <v>43497</v>
      </c>
      <c r="B371" s="4" t="s">
        <v>74</v>
      </c>
      <c r="C371" s="4" t="s">
        <v>52</v>
      </c>
      <c r="D371" s="4" t="s">
        <v>64</v>
      </c>
      <c r="E371">
        <v>121</v>
      </c>
      <c r="F371">
        <v>60390</v>
      </c>
      <c r="G371">
        <v>200000</v>
      </c>
    </row>
    <row r="372" spans="1:7" x14ac:dyDescent="0.25">
      <c r="A372" s="5">
        <v>43497</v>
      </c>
      <c r="B372" s="4" t="s">
        <v>74</v>
      </c>
      <c r="C372" s="4" t="s">
        <v>68</v>
      </c>
      <c r="D372" s="4" t="s">
        <v>65</v>
      </c>
      <c r="E372">
        <v>110</v>
      </c>
      <c r="F372">
        <v>55101</v>
      </c>
      <c r="G372">
        <v>200000</v>
      </c>
    </row>
    <row r="373" spans="1:7" x14ac:dyDescent="0.25">
      <c r="A373" s="5">
        <v>43497</v>
      </c>
      <c r="B373" s="4" t="s">
        <v>74</v>
      </c>
      <c r="C373" s="4" t="s">
        <v>68</v>
      </c>
      <c r="D373" s="4" t="s">
        <v>60</v>
      </c>
      <c r="E373">
        <v>2168</v>
      </c>
      <c r="F373">
        <v>1083810</v>
      </c>
      <c r="G373">
        <v>200000</v>
      </c>
    </row>
    <row r="374" spans="1:7" x14ac:dyDescent="0.25">
      <c r="A374" s="5">
        <v>43497</v>
      </c>
      <c r="B374" s="4" t="s">
        <v>74</v>
      </c>
      <c r="C374" s="4" t="s">
        <v>68</v>
      </c>
      <c r="D374" s="4" t="s">
        <v>54</v>
      </c>
      <c r="E374">
        <v>982</v>
      </c>
      <c r="F374">
        <v>490880</v>
      </c>
      <c r="G374">
        <v>200000</v>
      </c>
    </row>
    <row r="375" spans="1:7" x14ac:dyDescent="0.25">
      <c r="A375" s="5">
        <v>43497</v>
      </c>
      <c r="B375" s="4" t="s">
        <v>74</v>
      </c>
      <c r="C375" s="4" t="s">
        <v>68</v>
      </c>
      <c r="D375" s="4" t="s">
        <v>64</v>
      </c>
      <c r="E375">
        <v>5218</v>
      </c>
      <c r="F375">
        <v>2608900</v>
      </c>
      <c r="G375">
        <v>200000</v>
      </c>
    </row>
    <row r="376" spans="1:7" x14ac:dyDescent="0.25">
      <c r="A376" s="5">
        <v>43497</v>
      </c>
      <c r="B376" s="4" t="s">
        <v>74</v>
      </c>
      <c r="C376" s="4" t="s">
        <v>68</v>
      </c>
      <c r="D376" s="4" t="s">
        <v>64</v>
      </c>
      <c r="E376">
        <v>7919</v>
      </c>
      <c r="F376">
        <v>3959260</v>
      </c>
      <c r="G376">
        <v>80000</v>
      </c>
    </row>
    <row r="377" spans="1:7" x14ac:dyDescent="0.25">
      <c r="A377" s="5">
        <v>43497</v>
      </c>
      <c r="B377" s="4" t="s">
        <v>74</v>
      </c>
      <c r="C377" s="4" t="s">
        <v>68</v>
      </c>
      <c r="D377" s="4" t="s">
        <v>61</v>
      </c>
      <c r="E377">
        <v>690</v>
      </c>
      <c r="F377">
        <v>344820</v>
      </c>
      <c r="G377">
        <v>0</v>
      </c>
    </row>
    <row r="378" spans="1:7" x14ac:dyDescent="0.25">
      <c r="A378" s="5">
        <v>43497</v>
      </c>
      <c r="B378" s="4" t="s">
        <v>74</v>
      </c>
      <c r="C378" s="4" t="s">
        <v>68</v>
      </c>
      <c r="D378" s="4" t="s">
        <v>57</v>
      </c>
      <c r="E378">
        <v>990</v>
      </c>
      <c r="F378">
        <v>495250</v>
      </c>
      <c r="G378">
        <v>3800</v>
      </c>
    </row>
    <row r="379" spans="1:7" x14ac:dyDescent="0.25">
      <c r="A379" s="5">
        <v>43497</v>
      </c>
      <c r="B379" s="4" t="s">
        <v>74</v>
      </c>
      <c r="C379" s="4" t="s">
        <v>68</v>
      </c>
      <c r="D379" s="4" t="s">
        <v>56</v>
      </c>
      <c r="E379">
        <v>387</v>
      </c>
      <c r="F379">
        <v>193420</v>
      </c>
      <c r="G379">
        <v>5000</v>
      </c>
    </row>
    <row r="380" spans="1:7" x14ac:dyDescent="0.25">
      <c r="A380" s="5">
        <v>43497</v>
      </c>
      <c r="B380" s="4" t="s">
        <v>74</v>
      </c>
      <c r="C380" s="4" t="s">
        <v>68</v>
      </c>
      <c r="D380" s="4" t="s">
        <v>55</v>
      </c>
      <c r="E380">
        <v>735</v>
      </c>
      <c r="F380">
        <v>367590</v>
      </c>
      <c r="G380">
        <v>0</v>
      </c>
    </row>
    <row r="381" spans="1:7" x14ac:dyDescent="0.25">
      <c r="A381" s="5">
        <v>43497</v>
      </c>
      <c r="B381" s="4" t="s">
        <v>74</v>
      </c>
      <c r="C381" s="4" t="s">
        <v>68</v>
      </c>
      <c r="D381" s="4" t="s">
        <v>65</v>
      </c>
      <c r="E381">
        <v>351</v>
      </c>
      <c r="F381">
        <v>175740</v>
      </c>
      <c r="G381">
        <v>0</v>
      </c>
    </row>
    <row r="382" spans="1:7" x14ac:dyDescent="0.25">
      <c r="A382" s="5">
        <v>43497</v>
      </c>
      <c r="B382" s="4" t="s">
        <v>74</v>
      </c>
      <c r="C382" s="4" t="s">
        <v>68</v>
      </c>
      <c r="D382" s="4" t="s">
        <v>57</v>
      </c>
      <c r="E382">
        <v>1444</v>
      </c>
      <c r="F382">
        <v>721890</v>
      </c>
      <c r="G382">
        <v>45000</v>
      </c>
    </row>
    <row r="383" spans="1:7" x14ac:dyDescent="0.25">
      <c r="A383" s="5">
        <v>43497</v>
      </c>
      <c r="B383" s="4" t="s">
        <v>74</v>
      </c>
      <c r="C383" s="4" t="s">
        <v>68</v>
      </c>
      <c r="D383" s="4" t="s">
        <v>59</v>
      </c>
      <c r="E383">
        <v>1691</v>
      </c>
      <c r="F383">
        <v>845280</v>
      </c>
      <c r="G383">
        <v>0</v>
      </c>
    </row>
    <row r="384" spans="1:7" x14ac:dyDescent="0.25">
      <c r="A384" s="5">
        <v>43497</v>
      </c>
      <c r="B384" s="4" t="s">
        <v>74</v>
      </c>
      <c r="C384" s="4" t="s">
        <v>68</v>
      </c>
      <c r="D384" s="4" t="s">
        <v>55</v>
      </c>
      <c r="E384">
        <v>698</v>
      </c>
      <c r="F384">
        <v>348960</v>
      </c>
      <c r="G384">
        <v>0</v>
      </c>
    </row>
    <row r="385" spans="1:7" x14ac:dyDescent="0.25">
      <c r="A385" s="5">
        <v>43497</v>
      </c>
      <c r="B385" s="4" t="s">
        <v>74</v>
      </c>
      <c r="C385" s="4" t="s">
        <v>68</v>
      </c>
      <c r="D385" s="4" t="s">
        <v>54</v>
      </c>
      <c r="E385">
        <v>922</v>
      </c>
      <c r="F385">
        <v>461010</v>
      </c>
      <c r="G385">
        <v>30000</v>
      </c>
    </row>
    <row r="386" spans="1:7" x14ac:dyDescent="0.25">
      <c r="A386" s="5">
        <v>43497</v>
      </c>
      <c r="B386" s="4" t="s">
        <v>74</v>
      </c>
      <c r="C386" s="4" t="s">
        <v>68</v>
      </c>
      <c r="D386" s="4" t="s">
        <v>58</v>
      </c>
      <c r="E386">
        <v>490</v>
      </c>
      <c r="F386">
        <v>245080</v>
      </c>
      <c r="G386">
        <v>0</v>
      </c>
    </row>
    <row r="387" spans="1:7" x14ac:dyDescent="0.25">
      <c r="A387" s="5">
        <v>43497</v>
      </c>
      <c r="B387" s="4" t="s">
        <v>74</v>
      </c>
      <c r="C387" s="4" t="s">
        <v>68</v>
      </c>
      <c r="D387" s="4" t="s">
        <v>63</v>
      </c>
      <c r="E387">
        <v>119</v>
      </c>
      <c r="F387">
        <v>59430</v>
      </c>
      <c r="G387">
        <v>0</v>
      </c>
    </row>
    <row r="388" spans="1:7" x14ac:dyDescent="0.25">
      <c r="A388" s="5">
        <v>43497</v>
      </c>
      <c r="B388" s="4" t="s">
        <v>74</v>
      </c>
      <c r="C388" s="4" t="s">
        <v>68</v>
      </c>
      <c r="D388" s="4" t="s">
        <v>61</v>
      </c>
      <c r="E388">
        <v>272</v>
      </c>
      <c r="F388">
        <v>136060</v>
      </c>
      <c r="G388">
        <v>0</v>
      </c>
    </row>
    <row r="389" spans="1:7" x14ac:dyDescent="0.25">
      <c r="A389" s="5">
        <v>43497</v>
      </c>
      <c r="B389" s="4" t="s">
        <v>74</v>
      </c>
      <c r="C389" s="4" t="s">
        <v>68</v>
      </c>
      <c r="D389" s="4" t="s">
        <v>57</v>
      </c>
      <c r="E389">
        <v>1211</v>
      </c>
      <c r="F389">
        <v>605470</v>
      </c>
      <c r="G389">
        <v>0</v>
      </c>
    </row>
    <row r="390" spans="1:7" x14ac:dyDescent="0.25">
      <c r="A390" s="5">
        <v>43497</v>
      </c>
      <c r="B390" s="4" t="s">
        <v>74</v>
      </c>
      <c r="C390" s="4" t="s">
        <v>68</v>
      </c>
      <c r="D390" s="4" t="s">
        <v>53</v>
      </c>
      <c r="E390">
        <v>2603</v>
      </c>
      <c r="F390">
        <v>1301380</v>
      </c>
      <c r="G390">
        <v>0</v>
      </c>
    </row>
    <row r="391" spans="1:7" x14ac:dyDescent="0.25">
      <c r="A391" s="5">
        <v>43497</v>
      </c>
      <c r="B391" s="4" t="s">
        <v>74</v>
      </c>
      <c r="C391" s="4" t="s">
        <v>68</v>
      </c>
      <c r="D391" s="4" t="s">
        <v>54</v>
      </c>
      <c r="E391">
        <v>1756</v>
      </c>
      <c r="F391">
        <v>878090</v>
      </c>
      <c r="G391">
        <v>0</v>
      </c>
    </row>
    <row r="392" spans="1:7" x14ac:dyDescent="0.25">
      <c r="A392" s="5">
        <v>43497</v>
      </c>
      <c r="B392" s="4" t="s">
        <v>74</v>
      </c>
      <c r="C392" s="4" t="s">
        <v>68</v>
      </c>
      <c r="D392" s="4" t="s">
        <v>57</v>
      </c>
      <c r="E392">
        <v>2453</v>
      </c>
      <c r="F392">
        <v>1226380</v>
      </c>
      <c r="G392">
        <v>40000</v>
      </c>
    </row>
    <row r="393" spans="1:7" x14ac:dyDescent="0.25">
      <c r="A393" s="5">
        <v>43497</v>
      </c>
      <c r="B393" s="4" t="s">
        <v>74</v>
      </c>
      <c r="C393" s="4" t="s">
        <v>68</v>
      </c>
      <c r="D393" s="4" t="s">
        <v>54</v>
      </c>
      <c r="E393">
        <v>3065</v>
      </c>
      <c r="F393">
        <v>1532350</v>
      </c>
      <c r="G393">
        <v>456000</v>
      </c>
    </row>
    <row r="394" spans="1:7" x14ac:dyDescent="0.25">
      <c r="A394" s="5">
        <v>43497</v>
      </c>
      <c r="B394" s="4" t="s">
        <v>74</v>
      </c>
      <c r="C394" s="4" t="s">
        <v>68</v>
      </c>
      <c r="D394" s="4" t="s">
        <v>54</v>
      </c>
      <c r="E394">
        <v>114</v>
      </c>
      <c r="F394">
        <v>56990</v>
      </c>
      <c r="G394">
        <v>0</v>
      </c>
    </row>
    <row r="395" spans="1:7" x14ac:dyDescent="0.25">
      <c r="A395" s="5">
        <v>43497</v>
      </c>
      <c r="B395" s="4" t="s">
        <v>74</v>
      </c>
      <c r="C395" s="4" t="s">
        <v>68</v>
      </c>
      <c r="D395" s="4" t="s">
        <v>70</v>
      </c>
      <c r="E395">
        <v>428</v>
      </c>
      <c r="F395">
        <v>214140</v>
      </c>
      <c r="G395">
        <v>0</v>
      </c>
    </row>
    <row r="396" spans="1:7" x14ac:dyDescent="0.25">
      <c r="A396" s="5">
        <v>43497</v>
      </c>
      <c r="B396" s="4" t="s">
        <v>74</v>
      </c>
      <c r="C396" s="4" t="s">
        <v>68</v>
      </c>
      <c r="D396" s="4" t="s">
        <v>54</v>
      </c>
      <c r="E396">
        <v>2748</v>
      </c>
      <c r="F396">
        <v>1374230</v>
      </c>
      <c r="G396">
        <v>91770</v>
      </c>
    </row>
    <row r="397" spans="1:7" x14ac:dyDescent="0.25">
      <c r="A397" s="5">
        <v>43497</v>
      </c>
      <c r="B397" s="4" t="s">
        <v>74</v>
      </c>
      <c r="C397" s="4" t="s">
        <v>68</v>
      </c>
      <c r="D397" s="4" t="s">
        <v>71</v>
      </c>
      <c r="E397">
        <v>513</v>
      </c>
      <c r="F397">
        <v>256730</v>
      </c>
      <c r="G397">
        <v>0</v>
      </c>
    </row>
    <row r="398" spans="1:7" x14ac:dyDescent="0.25">
      <c r="A398" s="5">
        <v>43497</v>
      </c>
      <c r="B398" s="4" t="s">
        <v>74</v>
      </c>
      <c r="C398" s="4" t="s">
        <v>68</v>
      </c>
      <c r="D398" s="4" t="s">
        <v>70</v>
      </c>
      <c r="E398">
        <v>132</v>
      </c>
      <c r="F398">
        <v>65900</v>
      </c>
      <c r="G398">
        <v>0</v>
      </c>
    </row>
    <row r="399" spans="1:7" x14ac:dyDescent="0.25">
      <c r="A399" s="5">
        <v>43497</v>
      </c>
      <c r="B399" s="4" t="s">
        <v>74</v>
      </c>
      <c r="C399" s="4" t="s">
        <v>68</v>
      </c>
      <c r="D399" s="4" t="s">
        <v>61</v>
      </c>
      <c r="E399">
        <v>300</v>
      </c>
      <c r="F399">
        <v>150140</v>
      </c>
      <c r="G399">
        <v>690</v>
      </c>
    </row>
    <row r="400" spans="1:7" x14ac:dyDescent="0.25">
      <c r="A400" s="5">
        <v>43497</v>
      </c>
      <c r="B400" s="4" t="s">
        <v>74</v>
      </c>
      <c r="C400" s="4" t="s">
        <v>68</v>
      </c>
      <c r="D400" s="4" t="s">
        <v>58</v>
      </c>
      <c r="E400">
        <v>360</v>
      </c>
      <c r="F400">
        <v>180240</v>
      </c>
      <c r="G400">
        <v>0</v>
      </c>
    </row>
    <row r="401" spans="1:7" x14ac:dyDescent="0.25">
      <c r="A401" s="5">
        <v>43497</v>
      </c>
      <c r="B401" s="4" t="s">
        <v>74</v>
      </c>
      <c r="C401" s="4" t="s">
        <v>68</v>
      </c>
      <c r="D401" s="4" t="s">
        <v>67</v>
      </c>
      <c r="E401">
        <v>106</v>
      </c>
      <c r="F401">
        <v>53000</v>
      </c>
      <c r="G401">
        <v>25000</v>
      </c>
    </row>
    <row r="402" spans="1:7" x14ac:dyDescent="0.25">
      <c r="A402" s="5">
        <v>43497</v>
      </c>
      <c r="B402" s="4" t="s">
        <v>74</v>
      </c>
      <c r="C402" s="4" t="s">
        <v>68</v>
      </c>
      <c r="D402" s="4" t="s">
        <v>64</v>
      </c>
      <c r="E402">
        <v>314</v>
      </c>
      <c r="F402">
        <v>157110</v>
      </c>
      <c r="G402">
        <v>138000</v>
      </c>
    </row>
    <row r="403" spans="1:7" x14ac:dyDescent="0.25">
      <c r="A403" s="5">
        <v>43497</v>
      </c>
      <c r="B403" s="4" t="s">
        <v>74</v>
      </c>
      <c r="C403" s="4" t="s">
        <v>68</v>
      </c>
      <c r="D403" s="4" t="s">
        <v>59</v>
      </c>
      <c r="E403">
        <v>414</v>
      </c>
      <c r="F403">
        <v>206770</v>
      </c>
      <c r="G403">
        <v>138000</v>
      </c>
    </row>
    <row r="404" spans="1:7" x14ac:dyDescent="0.25">
      <c r="A404" s="5">
        <v>43497</v>
      </c>
      <c r="B404" s="4" t="s">
        <v>74</v>
      </c>
      <c r="C404" s="4" t="s">
        <v>68</v>
      </c>
      <c r="D404" s="4" t="s">
        <v>67</v>
      </c>
      <c r="E404">
        <v>624</v>
      </c>
      <c r="F404">
        <v>312200</v>
      </c>
      <c r="G404">
        <v>138000</v>
      </c>
    </row>
    <row r="405" spans="1:7" x14ac:dyDescent="0.25">
      <c r="A405" s="5">
        <v>43497</v>
      </c>
      <c r="B405" s="4" t="s">
        <v>74</v>
      </c>
      <c r="C405" s="4" t="s">
        <v>68</v>
      </c>
      <c r="D405" s="4" t="s">
        <v>61</v>
      </c>
      <c r="E405">
        <v>59</v>
      </c>
      <c r="F405">
        <v>29560</v>
      </c>
      <c r="G405">
        <v>138000</v>
      </c>
    </row>
    <row r="406" spans="1:7" x14ac:dyDescent="0.25">
      <c r="A406" s="5">
        <v>43497</v>
      </c>
      <c r="B406" s="4" t="s">
        <v>74</v>
      </c>
      <c r="C406" s="4" t="s">
        <v>68</v>
      </c>
      <c r="D406" s="4" t="s">
        <v>61</v>
      </c>
      <c r="E406">
        <v>451</v>
      </c>
      <c r="F406">
        <v>225420</v>
      </c>
      <c r="G406">
        <v>138000</v>
      </c>
    </row>
    <row r="407" spans="1:7" x14ac:dyDescent="0.25">
      <c r="A407" s="5">
        <v>43497</v>
      </c>
      <c r="B407" s="4" t="s">
        <v>74</v>
      </c>
      <c r="C407" s="4" t="s">
        <v>73</v>
      </c>
      <c r="D407" s="4" t="s">
        <v>71</v>
      </c>
      <c r="E407">
        <v>176</v>
      </c>
      <c r="F407">
        <v>88030</v>
      </c>
      <c r="G407">
        <v>138000</v>
      </c>
    </row>
    <row r="408" spans="1:7" x14ac:dyDescent="0.25">
      <c r="A408" s="5">
        <v>43497</v>
      </c>
      <c r="B408" s="4" t="s">
        <v>74</v>
      </c>
      <c r="C408" s="4" t="s">
        <v>73</v>
      </c>
      <c r="D408" s="4" t="s">
        <v>57</v>
      </c>
      <c r="E408">
        <v>335</v>
      </c>
      <c r="F408">
        <v>167310</v>
      </c>
      <c r="G408">
        <v>138000</v>
      </c>
    </row>
    <row r="409" spans="1:7" x14ac:dyDescent="0.25">
      <c r="A409" s="5">
        <v>43497</v>
      </c>
      <c r="B409" s="4" t="s">
        <v>74</v>
      </c>
      <c r="C409" s="4" t="s">
        <v>73</v>
      </c>
      <c r="D409" s="4" t="s">
        <v>61</v>
      </c>
      <c r="E409">
        <v>325</v>
      </c>
      <c r="F409">
        <v>162530</v>
      </c>
      <c r="G409">
        <v>138000</v>
      </c>
    </row>
    <row r="410" spans="1:7" x14ac:dyDescent="0.25">
      <c r="A410" s="5">
        <v>43497</v>
      </c>
      <c r="B410" s="4" t="s">
        <v>74</v>
      </c>
      <c r="C410" s="4" t="s">
        <v>73</v>
      </c>
      <c r="D410" s="4" t="s">
        <v>62</v>
      </c>
      <c r="E410">
        <v>897</v>
      </c>
      <c r="F410">
        <v>448260</v>
      </c>
      <c r="G410">
        <v>9000</v>
      </c>
    </row>
    <row r="411" spans="1:7" x14ac:dyDescent="0.25">
      <c r="A411" s="5">
        <v>43497</v>
      </c>
      <c r="B411" s="4" t="s">
        <v>74</v>
      </c>
      <c r="C411" s="4" t="s">
        <v>73</v>
      </c>
      <c r="D411" s="4" t="s">
        <v>57</v>
      </c>
      <c r="E411">
        <v>192</v>
      </c>
      <c r="F411">
        <v>95950</v>
      </c>
      <c r="G411">
        <v>0</v>
      </c>
    </row>
    <row r="412" spans="1:7" x14ac:dyDescent="0.25">
      <c r="A412" s="5">
        <v>43497</v>
      </c>
      <c r="B412" s="4" t="s">
        <v>74</v>
      </c>
      <c r="C412" s="4" t="s">
        <v>73</v>
      </c>
      <c r="D412" s="4" t="s">
        <v>54</v>
      </c>
      <c r="E412">
        <v>362</v>
      </c>
      <c r="F412">
        <v>181195</v>
      </c>
      <c r="G412">
        <v>65000</v>
      </c>
    </row>
    <row r="413" spans="1:7" x14ac:dyDescent="0.25">
      <c r="A413" s="5">
        <v>43497</v>
      </c>
      <c r="B413" s="4" t="s">
        <v>74</v>
      </c>
      <c r="C413" s="4" t="s">
        <v>73</v>
      </c>
      <c r="D413" s="4" t="s">
        <v>57</v>
      </c>
      <c r="E413">
        <v>502</v>
      </c>
      <c r="F413">
        <v>251060</v>
      </c>
      <c r="G413">
        <v>0</v>
      </c>
    </row>
    <row r="414" spans="1:7" x14ac:dyDescent="0.25">
      <c r="A414" s="5">
        <v>43497</v>
      </c>
      <c r="B414" s="4" t="s">
        <v>74</v>
      </c>
      <c r="C414" s="4" t="s">
        <v>73</v>
      </c>
      <c r="D414" s="4" t="s">
        <v>56</v>
      </c>
      <c r="E414">
        <v>419</v>
      </c>
      <c r="F414">
        <v>209425</v>
      </c>
      <c r="G414">
        <v>0</v>
      </c>
    </row>
    <row r="415" spans="1:7" x14ac:dyDescent="0.25">
      <c r="A415" s="5">
        <v>43497</v>
      </c>
      <c r="B415" s="4" t="s">
        <v>74</v>
      </c>
      <c r="C415" s="4" t="s">
        <v>73</v>
      </c>
      <c r="D415" s="4" t="s">
        <v>64</v>
      </c>
      <c r="E415">
        <v>331</v>
      </c>
      <c r="F415">
        <v>165500</v>
      </c>
      <c r="G415">
        <v>0</v>
      </c>
    </row>
    <row r="416" spans="1:7" x14ac:dyDescent="0.25">
      <c r="A416" s="5">
        <v>43497</v>
      </c>
      <c r="B416" s="4" t="s">
        <v>74</v>
      </c>
      <c r="C416" s="4" t="s">
        <v>73</v>
      </c>
      <c r="D416" s="4" t="s">
        <v>54</v>
      </c>
      <c r="E416">
        <v>98</v>
      </c>
      <c r="F416">
        <v>49230</v>
      </c>
      <c r="G416">
        <v>0</v>
      </c>
    </row>
    <row r="417" spans="1:7" x14ac:dyDescent="0.25">
      <c r="A417" s="5">
        <v>43497</v>
      </c>
      <c r="B417" s="4" t="s">
        <v>74</v>
      </c>
      <c r="C417" s="4" t="s">
        <v>73</v>
      </c>
      <c r="D417" s="4" t="s">
        <v>64</v>
      </c>
      <c r="E417">
        <v>778</v>
      </c>
      <c r="F417">
        <v>389010</v>
      </c>
      <c r="G417">
        <v>3000</v>
      </c>
    </row>
    <row r="418" spans="1:7" x14ac:dyDescent="0.25">
      <c r="A418" s="5">
        <v>43497</v>
      </c>
      <c r="B418" s="4" t="s">
        <v>74</v>
      </c>
      <c r="C418" s="4" t="s">
        <v>73</v>
      </c>
      <c r="D418" s="4" t="s">
        <v>70</v>
      </c>
      <c r="E418">
        <v>41</v>
      </c>
      <c r="F418">
        <v>20560</v>
      </c>
      <c r="G418">
        <v>10000</v>
      </c>
    </row>
    <row r="419" spans="1:7" x14ac:dyDescent="0.25">
      <c r="A419" s="5">
        <v>43497</v>
      </c>
      <c r="B419" s="4" t="s">
        <v>74</v>
      </c>
      <c r="C419" s="4" t="s">
        <v>73</v>
      </c>
      <c r="D419" s="4" t="s">
        <v>63</v>
      </c>
      <c r="E419">
        <v>130</v>
      </c>
      <c r="F419">
        <v>65115</v>
      </c>
      <c r="G419">
        <v>20000</v>
      </c>
    </row>
    <row r="420" spans="1:7" x14ac:dyDescent="0.25">
      <c r="A420" s="5">
        <v>43497</v>
      </c>
      <c r="B420" s="4" t="s">
        <v>74</v>
      </c>
      <c r="C420" s="4" t="s">
        <v>73</v>
      </c>
      <c r="D420" s="4" t="s">
        <v>61</v>
      </c>
      <c r="E420">
        <v>78</v>
      </c>
      <c r="F420">
        <v>39100</v>
      </c>
      <c r="G420">
        <v>0</v>
      </c>
    </row>
    <row r="421" spans="1:7" x14ac:dyDescent="0.25">
      <c r="A421" s="5">
        <v>43497</v>
      </c>
      <c r="B421" s="4" t="s">
        <v>74</v>
      </c>
      <c r="C421" s="4" t="s">
        <v>73</v>
      </c>
      <c r="D421" s="4" t="s">
        <v>69</v>
      </c>
      <c r="E421">
        <v>864</v>
      </c>
      <c r="F421">
        <v>431975</v>
      </c>
      <c r="G421">
        <v>0</v>
      </c>
    </row>
    <row r="422" spans="1:7" x14ac:dyDescent="0.25">
      <c r="A422" s="5">
        <v>43497</v>
      </c>
      <c r="B422" s="4" t="s">
        <v>74</v>
      </c>
      <c r="C422" s="4" t="s">
        <v>73</v>
      </c>
      <c r="D422" s="4" t="s">
        <v>61</v>
      </c>
      <c r="E422">
        <v>349</v>
      </c>
      <c r="F422">
        <v>174515</v>
      </c>
      <c r="G422">
        <v>0</v>
      </c>
    </row>
    <row r="423" spans="1:7" x14ac:dyDescent="0.25">
      <c r="A423" s="5">
        <v>43497</v>
      </c>
      <c r="B423" s="4" t="s">
        <v>74</v>
      </c>
      <c r="C423" s="4" t="s">
        <v>73</v>
      </c>
      <c r="D423" s="4" t="s">
        <v>54</v>
      </c>
      <c r="E423">
        <v>903</v>
      </c>
      <c r="F423">
        <v>451505</v>
      </c>
      <c r="G423">
        <v>0</v>
      </c>
    </row>
    <row r="424" spans="1:7" x14ac:dyDescent="0.25">
      <c r="A424" s="5">
        <v>43497</v>
      </c>
      <c r="B424" s="4" t="s">
        <v>74</v>
      </c>
      <c r="C424" s="4" t="s">
        <v>73</v>
      </c>
      <c r="D424" s="4" t="s">
        <v>67</v>
      </c>
      <c r="E424">
        <v>330</v>
      </c>
      <c r="F424">
        <v>164810</v>
      </c>
      <c r="G424">
        <v>0</v>
      </c>
    </row>
    <row r="425" spans="1:7" x14ac:dyDescent="0.25">
      <c r="A425" s="5">
        <v>43497</v>
      </c>
      <c r="B425" s="4" t="s">
        <v>74</v>
      </c>
      <c r="C425" s="4" t="s">
        <v>73</v>
      </c>
      <c r="D425" s="4" t="s">
        <v>65</v>
      </c>
      <c r="E425">
        <v>310</v>
      </c>
      <c r="F425">
        <v>154950</v>
      </c>
      <c r="G425">
        <v>0</v>
      </c>
    </row>
    <row r="426" spans="1:7" x14ac:dyDescent="0.25">
      <c r="A426" s="5">
        <v>43498</v>
      </c>
      <c r="B426" s="4" t="s">
        <v>74</v>
      </c>
      <c r="C426" s="4" t="s">
        <v>52</v>
      </c>
      <c r="D426" s="4" t="s">
        <v>54</v>
      </c>
      <c r="E426">
        <v>25</v>
      </c>
      <c r="F426">
        <v>12555</v>
      </c>
      <c r="G426">
        <v>0</v>
      </c>
    </row>
    <row r="427" spans="1:7" x14ac:dyDescent="0.25">
      <c r="A427" s="5">
        <v>43498</v>
      </c>
      <c r="B427" s="4" t="s">
        <v>74</v>
      </c>
      <c r="C427" s="4" t="s">
        <v>52</v>
      </c>
      <c r="D427" s="4" t="s">
        <v>65</v>
      </c>
      <c r="E427">
        <v>39</v>
      </c>
      <c r="F427">
        <v>19260</v>
      </c>
      <c r="G427">
        <v>0</v>
      </c>
    </row>
    <row r="428" spans="1:7" x14ac:dyDescent="0.25">
      <c r="A428" s="5">
        <v>43499</v>
      </c>
      <c r="B428" s="4" t="s">
        <v>74</v>
      </c>
      <c r="C428" s="4" t="s">
        <v>72</v>
      </c>
      <c r="D428" s="4" t="s">
        <v>65</v>
      </c>
      <c r="E428">
        <v>33</v>
      </c>
      <c r="F428">
        <v>16700</v>
      </c>
      <c r="G428">
        <v>16700</v>
      </c>
    </row>
    <row r="429" spans="1:7" x14ac:dyDescent="0.25">
      <c r="A429" s="5">
        <v>43499</v>
      </c>
      <c r="B429" s="4" t="s">
        <v>74</v>
      </c>
      <c r="C429" s="4" t="s">
        <v>72</v>
      </c>
      <c r="D429" s="4" t="s">
        <v>61</v>
      </c>
      <c r="E429">
        <v>67</v>
      </c>
      <c r="F429">
        <v>33600</v>
      </c>
      <c r="G429">
        <v>13600</v>
      </c>
    </row>
    <row r="430" spans="1:7" x14ac:dyDescent="0.25">
      <c r="A430" s="5">
        <v>43499</v>
      </c>
      <c r="B430" s="4" t="s">
        <v>74</v>
      </c>
      <c r="C430" s="4" t="s">
        <v>52</v>
      </c>
      <c r="D430" s="4" t="s">
        <v>66</v>
      </c>
      <c r="E430">
        <v>50</v>
      </c>
      <c r="F430">
        <v>24805</v>
      </c>
      <c r="G430">
        <v>0</v>
      </c>
    </row>
    <row r="431" spans="1:7" x14ac:dyDescent="0.25">
      <c r="A431" s="5">
        <v>43499</v>
      </c>
      <c r="B431" s="4" t="s">
        <v>74</v>
      </c>
      <c r="C431" s="4" t="s">
        <v>52</v>
      </c>
      <c r="D431" s="4" t="s">
        <v>64</v>
      </c>
      <c r="E431">
        <v>295</v>
      </c>
      <c r="F431">
        <v>147340</v>
      </c>
      <c r="G431">
        <v>0</v>
      </c>
    </row>
    <row r="432" spans="1:7" x14ac:dyDescent="0.25">
      <c r="A432" s="5">
        <v>43499</v>
      </c>
      <c r="B432" s="4" t="s">
        <v>74</v>
      </c>
      <c r="C432" s="4" t="s">
        <v>52</v>
      </c>
      <c r="D432" s="4" t="s">
        <v>69</v>
      </c>
      <c r="E432">
        <v>55</v>
      </c>
      <c r="F432">
        <v>27360</v>
      </c>
      <c r="G432">
        <v>30000</v>
      </c>
    </row>
    <row r="433" spans="1:7" x14ac:dyDescent="0.25">
      <c r="A433" s="5">
        <v>43500</v>
      </c>
      <c r="B433" s="4" t="s">
        <v>74</v>
      </c>
      <c r="C433" s="4" t="s">
        <v>72</v>
      </c>
      <c r="D433" s="4" t="s">
        <v>55</v>
      </c>
      <c r="E433">
        <v>50</v>
      </c>
      <c r="F433">
        <v>24870</v>
      </c>
      <c r="G433">
        <v>8820</v>
      </c>
    </row>
    <row r="434" spans="1:7" x14ac:dyDescent="0.25">
      <c r="A434" s="5">
        <v>43500</v>
      </c>
      <c r="B434" s="4" t="s">
        <v>74</v>
      </c>
      <c r="C434" s="4" t="s">
        <v>52</v>
      </c>
      <c r="D434" s="4" t="s">
        <v>55</v>
      </c>
      <c r="E434">
        <v>68</v>
      </c>
      <c r="F434">
        <v>34020</v>
      </c>
      <c r="G434">
        <v>0</v>
      </c>
    </row>
    <row r="435" spans="1:7" x14ac:dyDescent="0.25">
      <c r="A435" s="5">
        <v>43502</v>
      </c>
      <c r="B435" s="4" t="s">
        <v>74</v>
      </c>
      <c r="C435" s="4" t="s">
        <v>72</v>
      </c>
      <c r="D435" s="4" t="s">
        <v>55</v>
      </c>
      <c r="E435">
        <v>32</v>
      </c>
      <c r="F435">
        <v>15750</v>
      </c>
      <c r="G435">
        <v>10000</v>
      </c>
    </row>
    <row r="436" spans="1:7" x14ac:dyDescent="0.25">
      <c r="A436" s="5">
        <v>43502</v>
      </c>
      <c r="B436" s="4" t="s">
        <v>74</v>
      </c>
      <c r="C436" s="4" t="s">
        <v>72</v>
      </c>
      <c r="D436" s="4" t="s">
        <v>54</v>
      </c>
      <c r="E436">
        <v>156</v>
      </c>
      <c r="F436">
        <v>78100</v>
      </c>
      <c r="G436">
        <v>20100</v>
      </c>
    </row>
    <row r="437" spans="1:7" x14ac:dyDescent="0.25">
      <c r="A437" s="5">
        <v>43502</v>
      </c>
      <c r="B437" s="4" t="s">
        <v>74</v>
      </c>
      <c r="C437" s="4" t="s">
        <v>52</v>
      </c>
      <c r="D437" s="4" t="s">
        <v>57</v>
      </c>
      <c r="E437">
        <v>54</v>
      </c>
      <c r="F437">
        <v>26880</v>
      </c>
      <c r="G437">
        <v>0</v>
      </c>
    </row>
    <row r="438" spans="1:7" x14ac:dyDescent="0.25">
      <c r="A438" s="5">
        <v>43502</v>
      </c>
      <c r="B438" s="4" t="s">
        <v>74</v>
      </c>
      <c r="C438" s="4" t="s">
        <v>52</v>
      </c>
      <c r="D438" s="4" t="s">
        <v>61</v>
      </c>
      <c r="E438">
        <v>505</v>
      </c>
      <c r="F438">
        <v>252443</v>
      </c>
      <c r="G438">
        <v>0</v>
      </c>
    </row>
    <row r="439" spans="1:7" x14ac:dyDescent="0.25">
      <c r="A439" s="5">
        <v>43502</v>
      </c>
      <c r="B439" s="4" t="s">
        <v>74</v>
      </c>
      <c r="C439" s="4" t="s">
        <v>52</v>
      </c>
      <c r="D439" s="4" t="s">
        <v>55</v>
      </c>
      <c r="E439">
        <v>153</v>
      </c>
      <c r="F439">
        <v>76300</v>
      </c>
      <c r="G439">
        <v>20000</v>
      </c>
    </row>
    <row r="440" spans="1:7" x14ac:dyDescent="0.25">
      <c r="A440" s="5">
        <v>43503</v>
      </c>
      <c r="B440" s="4" t="s">
        <v>74</v>
      </c>
      <c r="C440" s="4" t="s">
        <v>72</v>
      </c>
      <c r="D440" s="4" t="s">
        <v>55</v>
      </c>
      <c r="E440">
        <v>294</v>
      </c>
      <c r="F440">
        <v>146865</v>
      </c>
      <c r="G440">
        <v>37000</v>
      </c>
    </row>
    <row r="441" spans="1:7" x14ac:dyDescent="0.25">
      <c r="A441" s="5">
        <v>43503</v>
      </c>
      <c r="B441" s="4" t="s">
        <v>74</v>
      </c>
      <c r="C441" s="4" t="s">
        <v>72</v>
      </c>
      <c r="D441" s="4" t="s">
        <v>56</v>
      </c>
      <c r="E441">
        <v>240</v>
      </c>
      <c r="F441">
        <v>120190</v>
      </c>
      <c r="G441">
        <v>0</v>
      </c>
    </row>
    <row r="442" spans="1:7" x14ac:dyDescent="0.25">
      <c r="A442" s="5">
        <v>43503</v>
      </c>
      <c r="B442" s="4" t="s">
        <v>74</v>
      </c>
      <c r="C442" s="4" t="s">
        <v>72</v>
      </c>
      <c r="D442" s="4" t="s">
        <v>55</v>
      </c>
      <c r="E442">
        <v>27</v>
      </c>
      <c r="F442">
        <v>13600</v>
      </c>
      <c r="G442">
        <v>1000</v>
      </c>
    </row>
    <row r="443" spans="1:7" x14ac:dyDescent="0.25">
      <c r="A443" s="5">
        <v>43503</v>
      </c>
      <c r="B443" s="4" t="s">
        <v>74</v>
      </c>
      <c r="C443" s="4" t="s">
        <v>52</v>
      </c>
      <c r="D443" s="4" t="s">
        <v>60</v>
      </c>
      <c r="E443">
        <v>140</v>
      </c>
      <c r="F443">
        <v>69750</v>
      </c>
      <c r="G443">
        <v>0</v>
      </c>
    </row>
    <row r="444" spans="1:7" x14ac:dyDescent="0.25">
      <c r="A444" s="5">
        <v>43503</v>
      </c>
      <c r="B444" s="4" t="s">
        <v>74</v>
      </c>
      <c r="C444" s="4" t="s">
        <v>52</v>
      </c>
      <c r="D444" s="4" t="s">
        <v>54</v>
      </c>
      <c r="E444">
        <v>425</v>
      </c>
      <c r="F444">
        <v>212295</v>
      </c>
      <c r="G444">
        <v>0</v>
      </c>
    </row>
    <row r="445" spans="1:7" x14ac:dyDescent="0.25">
      <c r="A445" s="5">
        <v>43503</v>
      </c>
      <c r="B445" s="4" t="s">
        <v>74</v>
      </c>
      <c r="C445" s="4" t="s">
        <v>52</v>
      </c>
      <c r="D445" s="4" t="s">
        <v>54</v>
      </c>
      <c r="E445">
        <v>43</v>
      </c>
      <c r="F445">
        <v>21442</v>
      </c>
      <c r="G445">
        <v>10000</v>
      </c>
    </row>
    <row r="446" spans="1:7" x14ac:dyDescent="0.25">
      <c r="A446" s="5">
        <v>43503</v>
      </c>
      <c r="B446" s="4" t="s">
        <v>74</v>
      </c>
      <c r="C446" s="4" t="s">
        <v>52</v>
      </c>
      <c r="D446" s="4" t="s">
        <v>62</v>
      </c>
      <c r="E446">
        <v>1372</v>
      </c>
      <c r="F446">
        <v>685893</v>
      </c>
      <c r="G446">
        <v>0</v>
      </c>
    </row>
    <row r="447" spans="1:7" x14ac:dyDescent="0.25">
      <c r="A447" s="5">
        <v>43503</v>
      </c>
      <c r="B447" s="4" t="s">
        <v>74</v>
      </c>
      <c r="C447" s="4" t="s">
        <v>52</v>
      </c>
      <c r="D447" s="4" t="s">
        <v>53</v>
      </c>
      <c r="E447">
        <v>379</v>
      </c>
      <c r="F447">
        <v>189589</v>
      </c>
      <c r="G447">
        <v>0</v>
      </c>
    </row>
    <row r="448" spans="1:7" x14ac:dyDescent="0.25">
      <c r="A448" s="5">
        <v>43503</v>
      </c>
      <c r="B448" s="4" t="s">
        <v>74</v>
      </c>
      <c r="C448" s="4" t="s">
        <v>52</v>
      </c>
      <c r="D448" s="4" t="s">
        <v>62</v>
      </c>
      <c r="E448">
        <v>96</v>
      </c>
      <c r="F448">
        <v>48190</v>
      </c>
      <c r="G448">
        <v>10000</v>
      </c>
    </row>
    <row r="449" spans="1:7" x14ac:dyDescent="0.25">
      <c r="A449" s="5">
        <v>43504</v>
      </c>
      <c r="B449" s="4" t="s">
        <v>74</v>
      </c>
      <c r="C449" s="4" t="s">
        <v>72</v>
      </c>
      <c r="D449" s="4" t="s">
        <v>54</v>
      </c>
      <c r="E449">
        <v>21</v>
      </c>
      <c r="F449">
        <v>10325</v>
      </c>
      <c r="G449">
        <v>0</v>
      </c>
    </row>
    <row r="450" spans="1:7" x14ac:dyDescent="0.25">
      <c r="A450" s="5">
        <v>43504</v>
      </c>
      <c r="B450" s="4" t="s">
        <v>74</v>
      </c>
      <c r="C450" s="4" t="s">
        <v>72</v>
      </c>
      <c r="D450" s="4" t="s">
        <v>55</v>
      </c>
      <c r="E450">
        <v>66</v>
      </c>
      <c r="F450">
        <v>33035</v>
      </c>
      <c r="G450">
        <v>64295</v>
      </c>
    </row>
    <row r="451" spans="1:7" x14ac:dyDescent="0.25">
      <c r="A451" s="5">
        <v>43504</v>
      </c>
      <c r="B451" s="4" t="s">
        <v>74</v>
      </c>
      <c r="C451" s="4" t="s">
        <v>72</v>
      </c>
      <c r="D451" s="4" t="s">
        <v>71</v>
      </c>
      <c r="E451">
        <v>61</v>
      </c>
      <c r="F451">
        <v>30400</v>
      </c>
      <c r="G451">
        <v>0</v>
      </c>
    </row>
    <row r="452" spans="1:7" x14ac:dyDescent="0.25">
      <c r="A452" s="5">
        <v>43504</v>
      </c>
      <c r="B452" s="4" t="s">
        <v>74</v>
      </c>
      <c r="C452" s="4" t="s">
        <v>52</v>
      </c>
      <c r="D452" s="4" t="s">
        <v>57</v>
      </c>
      <c r="E452">
        <v>369</v>
      </c>
      <c r="F452">
        <v>184460</v>
      </c>
      <c r="G452">
        <v>0</v>
      </c>
    </row>
    <row r="453" spans="1:7" x14ac:dyDescent="0.25">
      <c r="A453" s="5">
        <v>43504</v>
      </c>
      <c r="B453" s="4" t="s">
        <v>74</v>
      </c>
      <c r="C453" s="4" t="s">
        <v>52</v>
      </c>
      <c r="D453" s="4" t="s">
        <v>54</v>
      </c>
      <c r="E453">
        <v>347</v>
      </c>
      <c r="F453">
        <v>173313</v>
      </c>
      <c r="G453">
        <v>0</v>
      </c>
    </row>
    <row r="454" spans="1:7" x14ac:dyDescent="0.25">
      <c r="A454" s="5">
        <v>43504</v>
      </c>
      <c r="B454" s="4" t="s">
        <v>74</v>
      </c>
      <c r="C454" s="4" t="s">
        <v>52</v>
      </c>
      <c r="D454" s="4" t="s">
        <v>61</v>
      </c>
      <c r="E454">
        <v>54</v>
      </c>
      <c r="F454">
        <v>27120</v>
      </c>
      <c r="G454">
        <v>0</v>
      </c>
    </row>
    <row r="455" spans="1:7" x14ac:dyDescent="0.25">
      <c r="A455" s="5">
        <v>43504</v>
      </c>
      <c r="B455" s="4" t="s">
        <v>74</v>
      </c>
      <c r="C455" s="4" t="s">
        <v>68</v>
      </c>
      <c r="D455" s="4" t="s">
        <v>71</v>
      </c>
      <c r="E455">
        <v>434</v>
      </c>
      <c r="F455">
        <v>217050</v>
      </c>
      <c r="G455">
        <v>350000</v>
      </c>
    </row>
    <row r="456" spans="1:7" x14ac:dyDescent="0.25">
      <c r="A456" s="5">
        <v>43504</v>
      </c>
      <c r="B456" s="4" t="s">
        <v>74</v>
      </c>
      <c r="C456" s="4" t="s">
        <v>68</v>
      </c>
      <c r="D456" s="4" t="s">
        <v>54</v>
      </c>
      <c r="E456">
        <v>255</v>
      </c>
      <c r="F456">
        <v>127360</v>
      </c>
      <c r="G456">
        <v>0</v>
      </c>
    </row>
    <row r="457" spans="1:7" x14ac:dyDescent="0.25">
      <c r="A457" s="5">
        <v>43504</v>
      </c>
      <c r="B457" s="4" t="s">
        <v>74</v>
      </c>
      <c r="C457" s="4" t="s">
        <v>68</v>
      </c>
      <c r="D457" s="4" t="s">
        <v>64</v>
      </c>
      <c r="E457">
        <v>718</v>
      </c>
      <c r="F457">
        <v>359010</v>
      </c>
      <c r="G457">
        <v>253800</v>
      </c>
    </row>
    <row r="458" spans="1:7" x14ac:dyDescent="0.25">
      <c r="A458" s="5">
        <v>43504</v>
      </c>
      <c r="B458" s="4" t="s">
        <v>74</v>
      </c>
      <c r="C458" s="4" t="s">
        <v>68</v>
      </c>
      <c r="D458" s="4" t="s">
        <v>64</v>
      </c>
      <c r="E458">
        <v>1534</v>
      </c>
      <c r="F458">
        <v>767110</v>
      </c>
      <c r="G458">
        <v>922000</v>
      </c>
    </row>
    <row r="459" spans="1:7" x14ac:dyDescent="0.25">
      <c r="A459" s="5">
        <v>43504</v>
      </c>
      <c r="B459" s="4" t="s">
        <v>74</v>
      </c>
      <c r="C459" s="4" t="s">
        <v>68</v>
      </c>
      <c r="D459" s="4" t="s">
        <v>61</v>
      </c>
      <c r="E459">
        <v>525</v>
      </c>
      <c r="F459">
        <v>262270</v>
      </c>
      <c r="G459">
        <v>0</v>
      </c>
    </row>
    <row r="460" spans="1:7" x14ac:dyDescent="0.25">
      <c r="A460" s="5">
        <v>43504</v>
      </c>
      <c r="B460" s="4" t="s">
        <v>74</v>
      </c>
      <c r="C460" s="4" t="s">
        <v>68</v>
      </c>
      <c r="D460" s="4" t="s">
        <v>57</v>
      </c>
      <c r="E460">
        <v>2204</v>
      </c>
      <c r="F460">
        <v>1101960</v>
      </c>
      <c r="G460">
        <v>680000</v>
      </c>
    </row>
    <row r="461" spans="1:7" x14ac:dyDescent="0.25">
      <c r="A461" s="5">
        <v>43504</v>
      </c>
      <c r="B461" s="4" t="s">
        <v>74</v>
      </c>
      <c r="C461" s="4" t="s">
        <v>68</v>
      </c>
      <c r="D461" s="4" t="s">
        <v>55</v>
      </c>
      <c r="E461">
        <v>803</v>
      </c>
      <c r="F461">
        <v>401610</v>
      </c>
      <c r="G461">
        <v>10000</v>
      </c>
    </row>
    <row r="462" spans="1:7" x14ac:dyDescent="0.25">
      <c r="A462" s="5">
        <v>43504</v>
      </c>
      <c r="B462" s="4" t="s">
        <v>74</v>
      </c>
      <c r="C462" s="4" t="s">
        <v>68</v>
      </c>
      <c r="D462" s="4" t="s">
        <v>58</v>
      </c>
      <c r="E462">
        <v>770</v>
      </c>
      <c r="F462">
        <v>384750</v>
      </c>
      <c r="G462">
        <v>15000</v>
      </c>
    </row>
    <row r="463" spans="1:7" x14ac:dyDescent="0.25">
      <c r="A463" s="5">
        <v>43504</v>
      </c>
      <c r="B463" s="4" t="s">
        <v>74</v>
      </c>
      <c r="C463" s="4" t="s">
        <v>68</v>
      </c>
      <c r="D463" s="4" t="s">
        <v>58</v>
      </c>
      <c r="E463">
        <v>218</v>
      </c>
      <c r="F463">
        <v>108890</v>
      </c>
      <c r="G463">
        <v>160000</v>
      </c>
    </row>
    <row r="464" spans="1:7" x14ac:dyDescent="0.25">
      <c r="A464" s="5">
        <v>43504</v>
      </c>
      <c r="B464" s="4" t="s">
        <v>74</v>
      </c>
      <c r="C464" s="4" t="s">
        <v>68</v>
      </c>
      <c r="D464" s="4" t="s">
        <v>63</v>
      </c>
      <c r="E464">
        <v>30</v>
      </c>
      <c r="F464">
        <v>15000</v>
      </c>
      <c r="G464">
        <v>40000</v>
      </c>
    </row>
    <row r="465" spans="1:7" x14ac:dyDescent="0.25">
      <c r="A465" s="5">
        <v>43504</v>
      </c>
      <c r="B465" s="4" t="s">
        <v>74</v>
      </c>
      <c r="C465" s="4" t="s">
        <v>68</v>
      </c>
      <c r="D465" s="4" t="s">
        <v>56</v>
      </c>
      <c r="E465">
        <v>68</v>
      </c>
      <c r="F465">
        <v>34230</v>
      </c>
      <c r="G465">
        <v>0</v>
      </c>
    </row>
    <row r="466" spans="1:7" x14ac:dyDescent="0.25">
      <c r="A466" s="5">
        <v>43504</v>
      </c>
      <c r="B466" s="4" t="s">
        <v>74</v>
      </c>
      <c r="C466" s="4" t="s">
        <v>68</v>
      </c>
      <c r="D466" s="4" t="s">
        <v>56</v>
      </c>
      <c r="E466">
        <v>325</v>
      </c>
      <c r="F466">
        <v>162610</v>
      </c>
      <c r="G466">
        <v>104000</v>
      </c>
    </row>
    <row r="467" spans="1:7" x14ac:dyDescent="0.25">
      <c r="A467" s="5">
        <v>43504</v>
      </c>
      <c r="B467" s="4" t="s">
        <v>74</v>
      </c>
      <c r="C467" s="4" t="s">
        <v>68</v>
      </c>
      <c r="D467" s="4" t="s">
        <v>57</v>
      </c>
      <c r="E467">
        <v>256</v>
      </c>
      <c r="F467">
        <v>127780</v>
      </c>
      <c r="G467">
        <v>0</v>
      </c>
    </row>
    <row r="468" spans="1:7" x14ac:dyDescent="0.25">
      <c r="A468" s="5">
        <v>43504</v>
      </c>
      <c r="B468" s="4" t="s">
        <v>74</v>
      </c>
      <c r="C468" s="4" t="s">
        <v>68</v>
      </c>
      <c r="D468" s="4" t="s">
        <v>57</v>
      </c>
      <c r="E468">
        <v>1033</v>
      </c>
      <c r="F468">
        <v>516500</v>
      </c>
      <c r="G468">
        <v>175000</v>
      </c>
    </row>
    <row r="469" spans="1:7" x14ac:dyDescent="0.25">
      <c r="A469" s="5">
        <v>43504</v>
      </c>
      <c r="B469" s="4" t="s">
        <v>74</v>
      </c>
      <c r="C469" s="4" t="s">
        <v>68</v>
      </c>
      <c r="D469" s="4" t="s">
        <v>61</v>
      </c>
      <c r="E469">
        <v>141</v>
      </c>
      <c r="F469">
        <v>70385</v>
      </c>
      <c r="G469">
        <v>460</v>
      </c>
    </row>
    <row r="470" spans="1:7" x14ac:dyDescent="0.25">
      <c r="A470" s="5">
        <v>43504</v>
      </c>
      <c r="B470" s="4" t="s">
        <v>74</v>
      </c>
      <c r="C470" s="4" t="s">
        <v>68</v>
      </c>
      <c r="D470" s="4" t="s">
        <v>53</v>
      </c>
      <c r="E470">
        <v>576</v>
      </c>
      <c r="F470">
        <v>287960</v>
      </c>
      <c r="G470">
        <v>220000</v>
      </c>
    </row>
    <row r="471" spans="1:7" x14ac:dyDescent="0.25">
      <c r="A471" s="5">
        <v>43504</v>
      </c>
      <c r="B471" s="4" t="s">
        <v>74</v>
      </c>
      <c r="C471" s="4" t="s">
        <v>68</v>
      </c>
      <c r="D471" s="4" t="s">
        <v>54</v>
      </c>
      <c r="E471">
        <v>783</v>
      </c>
      <c r="F471">
        <v>391300</v>
      </c>
      <c r="G471">
        <v>0</v>
      </c>
    </row>
    <row r="472" spans="1:7" x14ac:dyDescent="0.25">
      <c r="A472" s="5">
        <v>43504</v>
      </c>
      <c r="B472" s="4" t="s">
        <v>74</v>
      </c>
      <c r="C472" s="4" t="s">
        <v>68</v>
      </c>
      <c r="D472" s="4" t="s">
        <v>70</v>
      </c>
      <c r="E472">
        <v>264</v>
      </c>
      <c r="F472">
        <v>131800</v>
      </c>
      <c r="G472">
        <v>92000</v>
      </c>
    </row>
    <row r="473" spans="1:7" x14ac:dyDescent="0.25">
      <c r="A473" s="5">
        <v>43504</v>
      </c>
      <c r="B473" s="4" t="s">
        <v>74</v>
      </c>
      <c r="C473" s="4" t="s">
        <v>68</v>
      </c>
      <c r="D473" s="4" t="s">
        <v>55</v>
      </c>
      <c r="E473">
        <v>8</v>
      </c>
      <c r="F473">
        <v>4170</v>
      </c>
      <c r="G473">
        <v>50000</v>
      </c>
    </row>
    <row r="474" spans="1:7" x14ac:dyDescent="0.25">
      <c r="A474" s="5">
        <v>43504</v>
      </c>
      <c r="B474" s="4" t="s">
        <v>74</v>
      </c>
      <c r="C474" s="4" t="s">
        <v>68</v>
      </c>
      <c r="D474" s="4" t="s">
        <v>61</v>
      </c>
      <c r="E474">
        <v>287</v>
      </c>
      <c r="F474">
        <v>143580</v>
      </c>
      <c r="G474">
        <v>36580</v>
      </c>
    </row>
    <row r="475" spans="1:7" x14ac:dyDescent="0.25">
      <c r="A475" s="5">
        <v>43504</v>
      </c>
      <c r="B475" s="4" t="s">
        <v>74</v>
      </c>
      <c r="C475" s="4" t="s">
        <v>68</v>
      </c>
      <c r="D475" s="4" t="s">
        <v>54</v>
      </c>
      <c r="E475">
        <v>429</v>
      </c>
      <c r="F475">
        <v>214720</v>
      </c>
      <c r="G475">
        <v>150870</v>
      </c>
    </row>
    <row r="476" spans="1:7" x14ac:dyDescent="0.25">
      <c r="A476" s="5">
        <v>43504</v>
      </c>
      <c r="B476" s="4" t="s">
        <v>74</v>
      </c>
      <c r="C476" s="4" t="s">
        <v>68</v>
      </c>
      <c r="D476" s="4" t="s">
        <v>57</v>
      </c>
      <c r="E476">
        <v>439</v>
      </c>
      <c r="F476">
        <v>219270</v>
      </c>
      <c r="G476">
        <v>33000</v>
      </c>
    </row>
    <row r="477" spans="1:7" x14ac:dyDescent="0.25">
      <c r="A477" s="5">
        <v>43504</v>
      </c>
      <c r="B477" s="4" t="s">
        <v>74</v>
      </c>
      <c r="C477" s="4" t="s">
        <v>68</v>
      </c>
      <c r="D477" s="4" t="s">
        <v>57</v>
      </c>
      <c r="E477">
        <v>418</v>
      </c>
      <c r="F477">
        <v>208820</v>
      </c>
      <c r="G477">
        <v>40000</v>
      </c>
    </row>
    <row r="478" spans="1:7" x14ac:dyDescent="0.25">
      <c r="A478" s="5">
        <v>43504</v>
      </c>
      <c r="B478" s="4" t="s">
        <v>74</v>
      </c>
      <c r="C478" s="4" t="s">
        <v>68</v>
      </c>
      <c r="D478" s="4" t="s">
        <v>54</v>
      </c>
      <c r="E478">
        <v>3044</v>
      </c>
      <c r="F478">
        <v>1522000</v>
      </c>
      <c r="G478">
        <v>1051300</v>
      </c>
    </row>
    <row r="479" spans="1:7" x14ac:dyDescent="0.25">
      <c r="A479" s="5">
        <v>43504</v>
      </c>
      <c r="B479" s="4" t="s">
        <v>74</v>
      </c>
      <c r="C479" s="4" t="s">
        <v>68</v>
      </c>
      <c r="D479" s="4" t="s">
        <v>59</v>
      </c>
      <c r="E479">
        <v>313</v>
      </c>
      <c r="F479">
        <v>156680</v>
      </c>
      <c r="G479">
        <v>74000</v>
      </c>
    </row>
    <row r="480" spans="1:7" x14ac:dyDescent="0.25">
      <c r="A480" s="5">
        <v>43504</v>
      </c>
      <c r="B480" s="4" t="s">
        <v>74</v>
      </c>
      <c r="C480" s="4" t="s">
        <v>68</v>
      </c>
      <c r="D480" s="4" t="s">
        <v>55</v>
      </c>
      <c r="E480">
        <v>327</v>
      </c>
      <c r="F480">
        <v>163360</v>
      </c>
      <c r="G480">
        <v>30000</v>
      </c>
    </row>
    <row r="481" spans="1:7" x14ac:dyDescent="0.25">
      <c r="A481" s="5">
        <v>43504</v>
      </c>
      <c r="B481" s="4" t="s">
        <v>74</v>
      </c>
      <c r="C481" s="4" t="s">
        <v>68</v>
      </c>
      <c r="D481" s="4" t="s">
        <v>56</v>
      </c>
      <c r="E481">
        <v>216</v>
      </c>
      <c r="F481">
        <v>107880</v>
      </c>
      <c r="G481">
        <v>20000</v>
      </c>
    </row>
    <row r="482" spans="1:7" x14ac:dyDescent="0.25">
      <c r="A482" s="5">
        <v>43504</v>
      </c>
      <c r="B482" s="4" t="s">
        <v>74</v>
      </c>
      <c r="C482" s="4" t="s">
        <v>68</v>
      </c>
      <c r="D482" s="4" t="s">
        <v>70</v>
      </c>
      <c r="E482">
        <v>41</v>
      </c>
      <c r="F482">
        <v>20500</v>
      </c>
      <c r="G482">
        <v>7000</v>
      </c>
    </row>
    <row r="483" spans="1:7" x14ac:dyDescent="0.25">
      <c r="A483" s="5">
        <v>43504</v>
      </c>
      <c r="B483" s="4" t="s">
        <v>74</v>
      </c>
      <c r="C483" s="4" t="s">
        <v>68</v>
      </c>
      <c r="D483" s="4" t="s">
        <v>67</v>
      </c>
      <c r="E483">
        <v>75</v>
      </c>
      <c r="F483">
        <v>37500</v>
      </c>
      <c r="G483">
        <v>0</v>
      </c>
    </row>
    <row r="484" spans="1:7" x14ac:dyDescent="0.25">
      <c r="A484" s="5">
        <v>43504</v>
      </c>
      <c r="B484" s="4" t="s">
        <v>74</v>
      </c>
      <c r="C484" s="4" t="s">
        <v>68</v>
      </c>
      <c r="D484" s="4" t="s">
        <v>65</v>
      </c>
      <c r="E484">
        <v>137</v>
      </c>
      <c r="F484">
        <v>68590</v>
      </c>
      <c r="G484">
        <v>50000</v>
      </c>
    </row>
    <row r="485" spans="1:7" x14ac:dyDescent="0.25">
      <c r="A485" s="5">
        <v>43504</v>
      </c>
      <c r="B485" s="4" t="s">
        <v>74</v>
      </c>
      <c r="C485" s="4" t="s">
        <v>68</v>
      </c>
      <c r="D485" s="4" t="s">
        <v>62</v>
      </c>
      <c r="E485">
        <v>153</v>
      </c>
      <c r="F485">
        <v>76360</v>
      </c>
      <c r="G485">
        <v>0</v>
      </c>
    </row>
    <row r="486" spans="1:7" x14ac:dyDescent="0.25">
      <c r="A486" s="5">
        <v>43504</v>
      </c>
      <c r="B486" s="4" t="s">
        <v>74</v>
      </c>
      <c r="C486" s="4" t="s">
        <v>73</v>
      </c>
      <c r="D486" s="4" t="s">
        <v>64</v>
      </c>
      <c r="E486">
        <v>479</v>
      </c>
      <c r="F486">
        <v>239575</v>
      </c>
      <c r="G486">
        <v>350000</v>
      </c>
    </row>
    <row r="487" spans="1:7" x14ac:dyDescent="0.25">
      <c r="A487" s="5">
        <v>43504</v>
      </c>
      <c r="B487" s="4" t="s">
        <v>74</v>
      </c>
      <c r="C487" s="4" t="s">
        <v>73</v>
      </c>
      <c r="D487" s="4" t="s">
        <v>61</v>
      </c>
      <c r="E487">
        <v>200</v>
      </c>
      <c r="F487">
        <v>100200</v>
      </c>
      <c r="G487">
        <v>78200</v>
      </c>
    </row>
    <row r="488" spans="1:7" x14ac:dyDescent="0.25">
      <c r="A488" s="5">
        <v>43504</v>
      </c>
      <c r="B488" s="4" t="s">
        <v>74</v>
      </c>
      <c r="C488" s="4" t="s">
        <v>73</v>
      </c>
      <c r="D488" s="4" t="s">
        <v>54</v>
      </c>
      <c r="E488">
        <v>353</v>
      </c>
      <c r="F488">
        <v>176315</v>
      </c>
      <c r="G488">
        <v>180000</v>
      </c>
    </row>
    <row r="489" spans="1:7" x14ac:dyDescent="0.25">
      <c r="A489" s="5">
        <v>43504</v>
      </c>
      <c r="B489" s="4" t="s">
        <v>74</v>
      </c>
      <c r="C489" s="4" t="s">
        <v>73</v>
      </c>
      <c r="D489" s="4" t="s">
        <v>71</v>
      </c>
      <c r="E489">
        <v>82</v>
      </c>
      <c r="F489">
        <v>40905</v>
      </c>
      <c r="G489">
        <v>50000</v>
      </c>
    </row>
    <row r="490" spans="1:7" x14ac:dyDescent="0.25">
      <c r="A490" s="5">
        <v>43504</v>
      </c>
      <c r="B490" s="4" t="s">
        <v>74</v>
      </c>
      <c r="C490" s="4" t="s">
        <v>73</v>
      </c>
      <c r="D490" s="4" t="s">
        <v>66</v>
      </c>
      <c r="E490">
        <v>219</v>
      </c>
      <c r="F490">
        <v>109540</v>
      </c>
      <c r="G490">
        <v>5000</v>
      </c>
    </row>
    <row r="491" spans="1:7" x14ac:dyDescent="0.25">
      <c r="A491" s="5">
        <v>43504</v>
      </c>
      <c r="B491" s="4" t="s">
        <v>74</v>
      </c>
      <c r="C491" s="4" t="s">
        <v>73</v>
      </c>
      <c r="D491" s="4" t="s">
        <v>57</v>
      </c>
      <c r="E491">
        <v>66</v>
      </c>
      <c r="F491">
        <v>33225</v>
      </c>
      <c r="G491">
        <v>25000</v>
      </c>
    </row>
    <row r="492" spans="1:7" x14ac:dyDescent="0.25">
      <c r="A492" s="5">
        <v>43504</v>
      </c>
      <c r="B492" s="4" t="s">
        <v>74</v>
      </c>
      <c r="C492" s="4" t="s">
        <v>73</v>
      </c>
      <c r="D492" s="4" t="s">
        <v>54</v>
      </c>
      <c r="E492">
        <v>147</v>
      </c>
      <c r="F492">
        <v>73275</v>
      </c>
      <c r="G492">
        <v>0</v>
      </c>
    </row>
    <row r="493" spans="1:7" x14ac:dyDescent="0.25">
      <c r="A493" s="5">
        <v>43504</v>
      </c>
      <c r="B493" s="4" t="s">
        <v>74</v>
      </c>
      <c r="C493" s="4" t="s">
        <v>73</v>
      </c>
      <c r="D493" s="4" t="s">
        <v>69</v>
      </c>
      <c r="E493">
        <v>14</v>
      </c>
      <c r="F493">
        <v>6800</v>
      </c>
      <c r="G493">
        <v>7500</v>
      </c>
    </row>
    <row r="494" spans="1:7" x14ac:dyDescent="0.25">
      <c r="A494" s="5">
        <v>43504</v>
      </c>
      <c r="B494" s="4" t="s">
        <v>74</v>
      </c>
      <c r="C494" s="4" t="s">
        <v>73</v>
      </c>
      <c r="D494" s="4" t="s">
        <v>55</v>
      </c>
      <c r="E494">
        <v>279</v>
      </c>
      <c r="F494">
        <v>139330</v>
      </c>
      <c r="G494">
        <v>0</v>
      </c>
    </row>
    <row r="495" spans="1:7" x14ac:dyDescent="0.25">
      <c r="A495" s="5">
        <v>43504</v>
      </c>
      <c r="B495" s="4" t="s">
        <v>74</v>
      </c>
      <c r="C495" s="4" t="s">
        <v>73</v>
      </c>
      <c r="D495" s="4" t="s">
        <v>55</v>
      </c>
      <c r="E495">
        <v>208</v>
      </c>
      <c r="F495">
        <v>104015</v>
      </c>
      <c r="G495">
        <v>0</v>
      </c>
    </row>
    <row r="496" spans="1:7" x14ac:dyDescent="0.25">
      <c r="A496" s="5">
        <v>43504</v>
      </c>
      <c r="B496" s="4" t="s">
        <v>74</v>
      </c>
      <c r="C496" s="4" t="s">
        <v>73</v>
      </c>
      <c r="D496" s="4" t="s">
        <v>64</v>
      </c>
      <c r="E496">
        <v>2534</v>
      </c>
      <c r="F496">
        <v>1267180</v>
      </c>
      <c r="G496">
        <v>600000</v>
      </c>
    </row>
    <row r="497" spans="1:7" x14ac:dyDescent="0.25">
      <c r="A497" s="5">
        <v>43504</v>
      </c>
      <c r="B497" s="4" t="s">
        <v>74</v>
      </c>
      <c r="C497" s="4" t="s">
        <v>73</v>
      </c>
      <c r="D497" s="4" t="s">
        <v>70</v>
      </c>
      <c r="E497">
        <v>40</v>
      </c>
      <c r="F497">
        <v>20000</v>
      </c>
      <c r="G497">
        <v>10000</v>
      </c>
    </row>
    <row r="498" spans="1:7" x14ac:dyDescent="0.25">
      <c r="A498" s="5">
        <v>43504</v>
      </c>
      <c r="B498" s="4" t="s">
        <v>74</v>
      </c>
      <c r="C498" s="4" t="s">
        <v>73</v>
      </c>
      <c r="D498" s="4" t="s">
        <v>57</v>
      </c>
      <c r="E498">
        <v>30</v>
      </c>
      <c r="F498">
        <v>15240</v>
      </c>
      <c r="G498">
        <v>0</v>
      </c>
    </row>
    <row r="499" spans="1:7" x14ac:dyDescent="0.25">
      <c r="A499" s="5">
        <v>43504</v>
      </c>
      <c r="B499" s="4" t="s">
        <v>74</v>
      </c>
      <c r="C499" s="4" t="s">
        <v>73</v>
      </c>
      <c r="D499" s="4" t="s">
        <v>54</v>
      </c>
      <c r="E499">
        <v>73</v>
      </c>
      <c r="F499">
        <v>36540</v>
      </c>
      <c r="G499">
        <v>55000</v>
      </c>
    </row>
    <row r="500" spans="1:7" x14ac:dyDescent="0.25">
      <c r="A500" s="5">
        <v>43504</v>
      </c>
      <c r="B500" s="4" t="s">
        <v>74</v>
      </c>
      <c r="C500" s="4" t="s">
        <v>73</v>
      </c>
      <c r="D500" s="4" t="s">
        <v>61</v>
      </c>
      <c r="E500">
        <v>732</v>
      </c>
      <c r="F500">
        <v>366110</v>
      </c>
      <c r="G500">
        <v>0</v>
      </c>
    </row>
    <row r="501" spans="1:7" x14ac:dyDescent="0.25">
      <c r="A501" s="5">
        <v>43505</v>
      </c>
      <c r="B501" s="4" t="s">
        <v>74</v>
      </c>
      <c r="C501" s="4" t="s">
        <v>52</v>
      </c>
      <c r="D501" s="4" t="s">
        <v>55</v>
      </c>
      <c r="E501">
        <v>309</v>
      </c>
      <c r="F501">
        <v>154520</v>
      </c>
      <c r="G501">
        <v>45000</v>
      </c>
    </row>
    <row r="502" spans="1:7" x14ac:dyDescent="0.25">
      <c r="A502" s="5">
        <v>43505</v>
      </c>
      <c r="B502" s="4" t="s">
        <v>74</v>
      </c>
      <c r="C502" s="4" t="s">
        <v>52</v>
      </c>
      <c r="D502" s="4" t="s">
        <v>56</v>
      </c>
      <c r="E502">
        <v>64</v>
      </c>
      <c r="F502">
        <v>31830</v>
      </c>
      <c r="G502">
        <v>0</v>
      </c>
    </row>
    <row r="503" spans="1:7" x14ac:dyDescent="0.25">
      <c r="A503" s="5">
        <v>43506</v>
      </c>
      <c r="B503" s="4" t="s">
        <v>74</v>
      </c>
      <c r="C503" s="4" t="s">
        <v>72</v>
      </c>
      <c r="D503" s="4" t="s">
        <v>61</v>
      </c>
      <c r="E503">
        <v>23</v>
      </c>
      <c r="F503">
        <v>11480</v>
      </c>
      <c r="G503">
        <v>6480</v>
      </c>
    </row>
    <row r="504" spans="1:7" x14ac:dyDescent="0.25">
      <c r="A504" s="5">
        <v>43506</v>
      </c>
      <c r="B504" s="4" t="s">
        <v>74</v>
      </c>
      <c r="C504" s="4" t="s">
        <v>52</v>
      </c>
      <c r="D504" s="4" t="s">
        <v>55</v>
      </c>
      <c r="E504">
        <v>228</v>
      </c>
      <c r="F504">
        <v>113830</v>
      </c>
      <c r="G504">
        <v>10000</v>
      </c>
    </row>
    <row r="505" spans="1:7" x14ac:dyDescent="0.25">
      <c r="A505" s="5">
        <v>43506</v>
      </c>
      <c r="B505" s="4" t="s">
        <v>74</v>
      </c>
      <c r="C505" s="4" t="s">
        <v>52</v>
      </c>
      <c r="D505" s="4" t="s">
        <v>57</v>
      </c>
      <c r="E505">
        <v>341</v>
      </c>
      <c r="F505">
        <v>170300</v>
      </c>
      <c r="G505">
        <v>50000</v>
      </c>
    </row>
    <row r="506" spans="1:7" x14ac:dyDescent="0.25">
      <c r="A506" s="5">
        <v>43506</v>
      </c>
      <c r="B506" s="4" t="s">
        <v>74</v>
      </c>
      <c r="C506" s="4" t="s">
        <v>52</v>
      </c>
      <c r="D506" s="4" t="s">
        <v>61</v>
      </c>
      <c r="E506">
        <v>26</v>
      </c>
      <c r="F506">
        <v>12825</v>
      </c>
      <c r="G506">
        <v>0</v>
      </c>
    </row>
    <row r="507" spans="1:7" x14ac:dyDescent="0.25">
      <c r="A507" s="5">
        <v>43507</v>
      </c>
      <c r="B507" s="4" t="s">
        <v>74</v>
      </c>
      <c r="C507" s="4" t="s">
        <v>52</v>
      </c>
      <c r="D507" s="4" t="s">
        <v>58</v>
      </c>
      <c r="E507">
        <v>303</v>
      </c>
      <c r="F507">
        <v>151620</v>
      </c>
      <c r="G507">
        <v>0</v>
      </c>
    </row>
    <row r="508" spans="1:7" x14ac:dyDescent="0.25">
      <c r="A508" s="5">
        <v>43507</v>
      </c>
      <c r="B508" s="4" t="s">
        <v>74</v>
      </c>
      <c r="C508" s="4" t="s">
        <v>52</v>
      </c>
      <c r="D508" s="4" t="s">
        <v>55</v>
      </c>
      <c r="E508">
        <v>421</v>
      </c>
      <c r="F508">
        <v>210560</v>
      </c>
      <c r="G508">
        <v>50000</v>
      </c>
    </row>
    <row r="509" spans="1:7" x14ac:dyDescent="0.25">
      <c r="A509" s="5">
        <v>43507</v>
      </c>
      <c r="B509" s="4" t="s">
        <v>74</v>
      </c>
      <c r="C509" s="4" t="s">
        <v>52</v>
      </c>
      <c r="D509" s="4" t="s">
        <v>61</v>
      </c>
      <c r="E509">
        <v>161</v>
      </c>
      <c r="F509">
        <v>80400</v>
      </c>
      <c r="G509">
        <v>400</v>
      </c>
    </row>
    <row r="510" spans="1:7" x14ac:dyDescent="0.25">
      <c r="A510" s="5">
        <v>43509</v>
      </c>
      <c r="B510" s="4" t="s">
        <v>74</v>
      </c>
      <c r="C510" s="4" t="s">
        <v>52</v>
      </c>
      <c r="D510" s="4" t="s">
        <v>55</v>
      </c>
      <c r="E510">
        <v>7</v>
      </c>
      <c r="F510">
        <v>3420</v>
      </c>
      <c r="G510">
        <v>0</v>
      </c>
    </row>
    <row r="511" spans="1:7" x14ac:dyDescent="0.25">
      <c r="A511" s="5">
        <v>43509</v>
      </c>
      <c r="B511" s="4" t="s">
        <v>74</v>
      </c>
      <c r="C511" s="4" t="s">
        <v>52</v>
      </c>
      <c r="D511" s="4" t="s">
        <v>64</v>
      </c>
      <c r="E511">
        <v>61</v>
      </c>
      <c r="F511">
        <v>30606</v>
      </c>
      <c r="G511">
        <v>0</v>
      </c>
    </row>
    <row r="512" spans="1:7" x14ac:dyDescent="0.25">
      <c r="A512" s="5">
        <v>43510</v>
      </c>
      <c r="B512" s="4" t="s">
        <v>74</v>
      </c>
      <c r="C512" s="4" t="s">
        <v>72</v>
      </c>
      <c r="D512" s="4" t="s">
        <v>55</v>
      </c>
      <c r="E512">
        <v>105</v>
      </c>
      <c r="F512">
        <v>52375</v>
      </c>
      <c r="G512">
        <v>21390</v>
      </c>
    </row>
    <row r="513" spans="1:7" x14ac:dyDescent="0.25">
      <c r="A513" s="5">
        <v>43510</v>
      </c>
      <c r="B513" s="4" t="s">
        <v>74</v>
      </c>
      <c r="C513" s="4" t="s">
        <v>72</v>
      </c>
      <c r="D513" s="4" t="s">
        <v>56</v>
      </c>
      <c r="E513">
        <v>33</v>
      </c>
      <c r="F513">
        <v>16420</v>
      </c>
      <c r="G513">
        <v>0</v>
      </c>
    </row>
    <row r="514" spans="1:7" x14ac:dyDescent="0.25">
      <c r="A514" s="5">
        <v>43510</v>
      </c>
      <c r="B514" s="4" t="s">
        <v>74</v>
      </c>
      <c r="C514" s="4" t="s">
        <v>72</v>
      </c>
      <c r="D514" s="4" t="s">
        <v>56</v>
      </c>
      <c r="E514">
        <v>28</v>
      </c>
      <c r="F514">
        <v>14080</v>
      </c>
      <c r="G514">
        <v>0</v>
      </c>
    </row>
    <row r="515" spans="1:7" x14ac:dyDescent="0.25">
      <c r="A515" s="5">
        <v>43510</v>
      </c>
      <c r="B515" s="4" t="s">
        <v>74</v>
      </c>
      <c r="C515" s="4" t="s">
        <v>52</v>
      </c>
      <c r="D515" s="4" t="s">
        <v>55</v>
      </c>
      <c r="E515">
        <v>443</v>
      </c>
      <c r="F515">
        <v>221322</v>
      </c>
      <c r="G515">
        <v>0</v>
      </c>
    </row>
    <row r="516" spans="1:7" x14ac:dyDescent="0.25">
      <c r="A516" s="5">
        <v>43510</v>
      </c>
      <c r="B516" s="4" t="s">
        <v>74</v>
      </c>
      <c r="C516" s="4" t="s">
        <v>52</v>
      </c>
      <c r="D516" s="4" t="s">
        <v>67</v>
      </c>
      <c r="E516">
        <v>147</v>
      </c>
      <c r="F516">
        <v>73700</v>
      </c>
      <c r="G516">
        <v>3700</v>
      </c>
    </row>
    <row r="517" spans="1:7" x14ac:dyDescent="0.25">
      <c r="A517" s="5">
        <v>43511</v>
      </c>
      <c r="B517" s="4" t="s">
        <v>74</v>
      </c>
      <c r="C517" s="4" t="s">
        <v>72</v>
      </c>
      <c r="D517" s="4" t="s">
        <v>55</v>
      </c>
      <c r="E517">
        <v>50</v>
      </c>
      <c r="F517">
        <v>24800</v>
      </c>
      <c r="G517">
        <v>0</v>
      </c>
    </row>
    <row r="518" spans="1:7" x14ac:dyDescent="0.25">
      <c r="A518" s="5">
        <v>43511</v>
      </c>
      <c r="B518" s="4" t="s">
        <v>74</v>
      </c>
      <c r="C518" s="4" t="s">
        <v>72</v>
      </c>
      <c r="D518" s="4" t="s">
        <v>55</v>
      </c>
      <c r="E518">
        <v>37</v>
      </c>
      <c r="F518">
        <v>18550</v>
      </c>
      <c r="G518">
        <v>13550</v>
      </c>
    </row>
    <row r="519" spans="1:7" x14ac:dyDescent="0.25">
      <c r="A519" s="5">
        <v>43511</v>
      </c>
      <c r="B519" s="4" t="s">
        <v>74</v>
      </c>
      <c r="C519" s="4" t="s">
        <v>72</v>
      </c>
      <c r="D519" s="4" t="s">
        <v>56</v>
      </c>
      <c r="E519">
        <v>424</v>
      </c>
      <c r="F519">
        <v>211750</v>
      </c>
      <c r="G519">
        <v>120250</v>
      </c>
    </row>
    <row r="520" spans="1:7" x14ac:dyDescent="0.25">
      <c r="A520" s="5">
        <v>43511</v>
      </c>
      <c r="B520" s="4" t="s">
        <v>74</v>
      </c>
      <c r="C520" s="4" t="s">
        <v>72</v>
      </c>
      <c r="D520" s="4" t="s">
        <v>62</v>
      </c>
      <c r="E520">
        <v>48</v>
      </c>
      <c r="F520">
        <v>23960</v>
      </c>
      <c r="G520">
        <v>0</v>
      </c>
    </row>
    <row r="521" spans="1:7" x14ac:dyDescent="0.25">
      <c r="A521" s="5">
        <v>43511</v>
      </c>
      <c r="B521" s="4" t="s">
        <v>74</v>
      </c>
      <c r="C521" s="4" t="s">
        <v>52</v>
      </c>
      <c r="D521" s="4" t="s">
        <v>57</v>
      </c>
      <c r="E521">
        <v>188</v>
      </c>
      <c r="F521">
        <v>93954</v>
      </c>
      <c r="G521">
        <v>0</v>
      </c>
    </row>
    <row r="522" spans="1:7" x14ac:dyDescent="0.25">
      <c r="A522" s="5">
        <v>43511</v>
      </c>
      <c r="B522" s="4" t="s">
        <v>74</v>
      </c>
      <c r="C522" s="4" t="s">
        <v>52</v>
      </c>
      <c r="D522" s="4" t="s">
        <v>66</v>
      </c>
      <c r="E522">
        <v>145</v>
      </c>
      <c r="F522">
        <v>72564</v>
      </c>
      <c r="G522">
        <v>50000</v>
      </c>
    </row>
    <row r="523" spans="1:7" x14ac:dyDescent="0.25">
      <c r="A523" s="5">
        <v>43511</v>
      </c>
      <c r="B523" s="4" t="s">
        <v>74</v>
      </c>
      <c r="C523" s="4" t="s">
        <v>52</v>
      </c>
      <c r="D523" s="4" t="s">
        <v>55</v>
      </c>
      <c r="E523">
        <v>138</v>
      </c>
      <c r="F523">
        <v>69152</v>
      </c>
      <c r="G523">
        <v>30000</v>
      </c>
    </row>
    <row r="524" spans="1:7" x14ac:dyDescent="0.25">
      <c r="A524" s="5">
        <v>43511</v>
      </c>
      <c r="B524" s="4" t="s">
        <v>74</v>
      </c>
      <c r="C524" s="4" t="s">
        <v>52</v>
      </c>
      <c r="D524" s="4" t="s">
        <v>64</v>
      </c>
      <c r="E524">
        <v>137</v>
      </c>
      <c r="F524">
        <v>68365</v>
      </c>
      <c r="G524">
        <v>0</v>
      </c>
    </row>
    <row r="525" spans="1:7" x14ac:dyDescent="0.25">
      <c r="A525" s="5">
        <v>43511</v>
      </c>
      <c r="B525" s="4" t="s">
        <v>74</v>
      </c>
      <c r="C525" s="4" t="s">
        <v>68</v>
      </c>
      <c r="D525" s="4" t="s">
        <v>57</v>
      </c>
      <c r="E525">
        <v>1488</v>
      </c>
      <c r="F525">
        <v>743920</v>
      </c>
      <c r="G525">
        <v>92000</v>
      </c>
    </row>
    <row r="526" spans="1:7" x14ac:dyDescent="0.25">
      <c r="A526" s="5">
        <v>43511</v>
      </c>
      <c r="B526" s="4" t="s">
        <v>74</v>
      </c>
      <c r="C526" s="4" t="s">
        <v>68</v>
      </c>
      <c r="D526" s="4" t="s">
        <v>71</v>
      </c>
      <c r="E526">
        <v>320</v>
      </c>
      <c r="F526">
        <v>159970</v>
      </c>
      <c r="G526">
        <v>20940</v>
      </c>
    </row>
    <row r="527" spans="1:7" x14ac:dyDescent="0.25">
      <c r="A527" s="5">
        <v>43511</v>
      </c>
      <c r="B527" s="4" t="s">
        <v>74</v>
      </c>
      <c r="C527" s="4" t="s">
        <v>68</v>
      </c>
      <c r="D527" s="4" t="s">
        <v>60</v>
      </c>
      <c r="E527">
        <v>886</v>
      </c>
      <c r="F527">
        <v>443080</v>
      </c>
      <c r="G527">
        <v>40000</v>
      </c>
    </row>
    <row r="528" spans="1:7" x14ac:dyDescent="0.25">
      <c r="A528" s="5">
        <v>43511</v>
      </c>
      <c r="B528" s="4" t="s">
        <v>74</v>
      </c>
      <c r="C528" s="4" t="s">
        <v>68</v>
      </c>
      <c r="D528" s="4" t="s">
        <v>64</v>
      </c>
      <c r="E528">
        <v>2136</v>
      </c>
      <c r="F528">
        <v>1068070</v>
      </c>
      <c r="G528">
        <v>650000</v>
      </c>
    </row>
    <row r="529" spans="1:7" x14ac:dyDescent="0.25">
      <c r="A529" s="5">
        <v>43511</v>
      </c>
      <c r="B529" s="4" t="s">
        <v>74</v>
      </c>
      <c r="C529" s="4" t="s">
        <v>68</v>
      </c>
      <c r="D529" s="4" t="s">
        <v>64</v>
      </c>
      <c r="E529">
        <v>3612</v>
      </c>
      <c r="F529">
        <v>1805920</v>
      </c>
      <c r="G529">
        <v>180270</v>
      </c>
    </row>
    <row r="530" spans="1:7" x14ac:dyDescent="0.25">
      <c r="A530" s="5">
        <v>43511</v>
      </c>
      <c r="B530" s="4" t="s">
        <v>74</v>
      </c>
      <c r="C530" s="4" t="s">
        <v>68</v>
      </c>
      <c r="D530" s="4" t="s">
        <v>61</v>
      </c>
      <c r="E530">
        <v>306</v>
      </c>
      <c r="F530">
        <v>153120</v>
      </c>
      <c r="G530">
        <v>270000</v>
      </c>
    </row>
    <row r="531" spans="1:7" x14ac:dyDescent="0.25">
      <c r="A531" s="5">
        <v>43511</v>
      </c>
      <c r="B531" s="4" t="s">
        <v>74</v>
      </c>
      <c r="C531" s="4" t="s">
        <v>68</v>
      </c>
      <c r="D531" s="4" t="s">
        <v>57</v>
      </c>
      <c r="E531">
        <v>427</v>
      </c>
      <c r="F531">
        <v>213350</v>
      </c>
      <c r="G531">
        <v>0</v>
      </c>
    </row>
    <row r="532" spans="1:7" x14ac:dyDescent="0.25">
      <c r="A532" s="5">
        <v>43511</v>
      </c>
      <c r="B532" s="4" t="s">
        <v>74</v>
      </c>
      <c r="C532" s="4" t="s">
        <v>68</v>
      </c>
      <c r="D532" s="4" t="s">
        <v>53</v>
      </c>
      <c r="E532">
        <v>1389</v>
      </c>
      <c r="F532">
        <v>694660</v>
      </c>
      <c r="G532">
        <v>170000</v>
      </c>
    </row>
    <row r="533" spans="1:7" x14ac:dyDescent="0.25">
      <c r="A533" s="5">
        <v>43511</v>
      </c>
      <c r="B533" s="4" t="s">
        <v>74</v>
      </c>
      <c r="C533" s="4" t="s">
        <v>68</v>
      </c>
      <c r="D533" s="4" t="s">
        <v>58</v>
      </c>
      <c r="E533">
        <v>75</v>
      </c>
      <c r="F533">
        <v>37260</v>
      </c>
      <c r="G533">
        <v>20000</v>
      </c>
    </row>
    <row r="534" spans="1:7" x14ac:dyDescent="0.25">
      <c r="A534" s="5">
        <v>43511</v>
      </c>
      <c r="B534" s="4" t="s">
        <v>74</v>
      </c>
      <c r="C534" s="4" t="s">
        <v>68</v>
      </c>
      <c r="D534" s="4" t="s">
        <v>55</v>
      </c>
      <c r="E534">
        <v>1173</v>
      </c>
      <c r="F534">
        <v>586460</v>
      </c>
      <c r="G534">
        <v>190000</v>
      </c>
    </row>
    <row r="535" spans="1:7" x14ac:dyDescent="0.25">
      <c r="A535" s="5">
        <v>43511</v>
      </c>
      <c r="B535" s="4" t="s">
        <v>74</v>
      </c>
      <c r="C535" s="4" t="s">
        <v>68</v>
      </c>
      <c r="D535" s="4" t="s">
        <v>64</v>
      </c>
      <c r="E535">
        <v>144</v>
      </c>
      <c r="F535">
        <v>72000</v>
      </c>
      <c r="G535">
        <v>2000</v>
      </c>
    </row>
    <row r="536" spans="1:7" x14ac:dyDescent="0.25">
      <c r="A536" s="5">
        <v>43511</v>
      </c>
      <c r="B536" s="4" t="s">
        <v>74</v>
      </c>
      <c r="C536" s="4" t="s">
        <v>68</v>
      </c>
      <c r="D536" s="4" t="s">
        <v>61</v>
      </c>
      <c r="E536">
        <v>89</v>
      </c>
      <c r="F536">
        <v>44450</v>
      </c>
      <c r="G536">
        <v>0</v>
      </c>
    </row>
    <row r="537" spans="1:7" x14ac:dyDescent="0.25">
      <c r="A537" s="5">
        <v>43511</v>
      </c>
      <c r="B537" s="4" t="s">
        <v>74</v>
      </c>
      <c r="C537" s="4" t="s">
        <v>68</v>
      </c>
      <c r="D537" s="4" t="s">
        <v>57</v>
      </c>
      <c r="E537">
        <v>1070</v>
      </c>
      <c r="F537">
        <v>534760</v>
      </c>
      <c r="G537">
        <v>90000</v>
      </c>
    </row>
    <row r="538" spans="1:7" x14ac:dyDescent="0.25">
      <c r="A538" s="5">
        <v>43511</v>
      </c>
      <c r="B538" s="4" t="s">
        <v>74</v>
      </c>
      <c r="C538" s="4" t="s">
        <v>68</v>
      </c>
      <c r="D538" s="4" t="s">
        <v>70</v>
      </c>
      <c r="E538">
        <v>122</v>
      </c>
      <c r="F538">
        <v>60770</v>
      </c>
      <c r="G538">
        <v>60000</v>
      </c>
    </row>
    <row r="539" spans="1:7" x14ac:dyDescent="0.25">
      <c r="A539" s="5">
        <v>43511</v>
      </c>
      <c r="B539" s="4" t="s">
        <v>74</v>
      </c>
      <c r="C539" s="4" t="s">
        <v>68</v>
      </c>
      <c r="D539" s="4" t="s">
        <v>54</v>
      </c>
      <c r="E539">
        <v>590</v>
      </c>
      <c r="F539">
        <v>294860</v>
      </c>
      <c r="G539">
        <v>0</v>
      </c>
    </row>
    <row r="540" spans="1:7" x14ac:dyDescent="0.25">
      <c r="A540" s="5">
        <v>43511</v>
      </c>
      <c r="B540" s="4" t="s">
        <v>74</v>
      </c>
      <c r="C540" s="4" t="s">
        <v>68</v>
      </c>
      <c r="D540" s="4" t="s">
        <v>55</v>
      </c>
      <c r="E540">
        <v>1106</v>
      </c>
      <c r="F540">
        <v>553030</v>
      </c>
      <c r="G540">
        <v>45000</v>
      </c>
    </row>
    <row r="541" spans="1:7" x14ac:dyDescent="0.25">
      <c r="A541" s="5">
        <v>43511</v>
      </c>
      <c r="B541" s="4" t="s">
        <v>74</v>
      </c>
      <c r="C541" s="4" t="s">
        <v>68</v>
      </c>
      <c r="D541" s="4" t="s">
        <v>56</v>
      </c>
      <c r="E541">
        <v>122</v>
      </c>
      <c r="F541">
        <v>60960</v>
      </c>
      <c r="G541">
        <v>0</v>
      </c>
    </row>
    <row r="542" spans="1:7" x14ac:dyDescent="0.25">
      <c r="A542" s="5">
        <v>43511</v>
      </c>
      <c r="B542" s="4" t="s">
        <v>74</v>
      </c>
      <c r="C542" s="4" t="s">
        <v>68</v>
      </c>
      <c r="D542" s="4" t="s">
        <v>54</v>
      </c>
      <c r="E542">
        <v>711</v>
      </c>
      <c r="F542">
        <v>355360</v>
      </c>
      <c r="G542">
        <v>227000</v>
      </c>
    </row>
    <row r="543" spans="1:7" x14ac:dyDescent="0.25">
      <c r="A543" s="5">
        <v>43511</v>
      </c>
      <c r="B543" s="4" t="s">
        <v>74</v>
      </c>
      <c r="C543" s="4" t="s">
        <v>68</v>
      </c>
      <c r="D543" s="4" t="s">
        <v>54</v>
      </c>
      <c r="E543">
        <v>565</v>
      </c>
      <c r="F543">
        <v>282510</v>
      </c>
      <c r="G543">
        <v>0</v>
      </c>
    </row>
    <row r="544" spans="1:7" x14ac:dyDescent="0.25">
      <c r="A544" s="5">
        <v>43511</v>
      </c>
      <c r="B544" s="4" t="s">
        <v>74</v>
      </c>
      <c r="C544" s="4" t="s">
        <v>68</v>
      </c>
      <c r="D544" s="4" t="s">
        <v>56</v>
      </c>
      <c r="E544">
        <v>552</v>
      </c>
      <c r="F544">
        <v>275780</v>
      </c>
      <c r="G544">
        <v>76200</v>
      </c>
    </row>
    <row r="545" spans="1:7" x14ac:dyDescent="0.25">
      <c r="A545" s="5">
        <v>43511</v>
      </c>
      <c r="B545" s="4" t="s">
        <v>74</v>
      </c>
      <c r="C545" s="4" t="s">
        <v>68</v>
      </c>
      <c r="D545" s="4" t="s">
        <v>54</v>
      </c>
      <c r="E545">
        <v>753</v>
      </c>
      <c r="F545">
        <v>376420</v>
      </c>
      <c r="G545">
        <v>75000</v>
      </c>
    </row>
    <row r="546" spans="1:7" x14ac:dyDescent="0.25">
      <c r="A546" s="5">
        <v>43511</v>
      </c>
      <c r="B546" s="4" t="s">
        <v>74</v>
      </c>
      <c r="C546" s="4" t="s">
        <v>68</v>
      </c>
      <c r="D546" s="4" t="s">
        <v>54</v>
      </c>
      <c r="E546">
        <v>513</v>
      </c>
      <c r="F546">
        <v>256270</v>
      </c>
      <c r="G546">
        <v>260000</v>
      </c>
    </row>
    <row r="547" spans="1:7" x14ac:dyDescent="0.25">
      <c r="A547" s="5">
        <v>43511</v>
      </c>
      <c r="B547" s="4" t="s">
        <v>74</v>
      </c>
      <c r="C547" s="4" t="s">
        <v>68</v>
      </c>
      <c r="D547" s="4" t="s">
        <v>55</v>
      </c>
      <c r="E547">
        <v>42</v>
      </c>
      <c r="F547">
        <v>20960</v>
      </c>
      <c r="G547">
        <v>0</v>
      </c>
    </row>
    <row r="548" spans="1:7" x14ac:dyDescent="0.25">
      <c r="A548" s="5">
        <v>43511</v>
      </c>
      <c r="B548" s="4" t="s">
        <v>74</v>
      </c>
      <c r="C548" s="4" t="s">
        <v>68</v>
      </c>
      <c r="D548" s="4" t="s">
        <v>61</v>
      </c>
      <c r="E548">
        <v>126</v>
      </c>
      <c r="F548">
        <v>62830</v>
      </c>
      <c r="G548">
        <v>70000</v>
      </c>
    </row>
    <row r="549" spans="1:7" x14ac:dyDescent="0.25">
      <c r="A549" s="5">
        <v>43511</v>
      </c>
      <c r="B549" s="4" t="s">
        <v>74</v>
      </c>
      <c r="C549" s="4" t="s">
        <v>68</v>
      </c>
      <c r="D549" s="4" t="s">
        <v>70</v>
      </c>
      <c r="E549">
        <v>1118</v>
      </c>
      <c r="F549">
        <v>559150</v>
      </c>
      <c r="G549">
        <v>0</v>
      </c>
    </row>
    <row r="550" spans="1:7" x14ac:dyDescent="0.25">
      <c r="A550" s="5">
        <v>43511</v>
      </c>
      <c r="B550" s="4" t="s">
        <v>74</v>
      </c>
      <c r="C550" s="4" t="s">
        <v>68</v>
      </c>
      <c r="D550" s="4" t="s">
        <v>58</v>
      </c>
      <c r="E550">
        <v>431</v>
      </c>
      <c r="F550">
        <v>215470</v>
      </c>
      <c r="G550">
        <v>0</v>
      </c>
    </row>
    <row r="551" spans="1:7" x14ac:dyDescent="0.25">
      <c r="A551" s="5">
        <v>43511</v>
      </c>
      <c r="B551" s="4" t="s">
        <v>74</v>
      </c>
      <c r="C551" s="4" t="s">
        <v>68</v>
      </c>
      <c r="D551" s="4" t="s">
        <v>54</v>
      </c>
      <c r="E551">
        <v>197</v>
      </c>
      <c r="F551">
        <v>98600</v>
      </c>
      <c r="G551">
        <v>220000</v>
      </c>
    </row>
    <row r="552" spans="1:7" x14ac:dyDescent="0.25">
      <c r="A552" s="5">
        <v>43511</v>
      </c>
      <c r="B552" s="4" t="s">
        <v>74</v>
      </c>
      <c r="C552" s="4" t="s">
        <v>68</v>
      </c>
      <c r="D552" s="4" t="s">
        <v>57</v>
      </c>
      <c r="E552">
        <v>357</v>
      </c>
      <c r="F552">
        <v>178530</v>
      </c>
      <c r="G552">
        <v>0</v>
      </c>
    </row>
    <row r="553" spans="1:7" x14ac:dyDescent="0.25">
      <c r="A553" s="5">
        <v>43511</v>
      </c>
      <c r="B553" s="4" t="s">
        <v>74</v>
      </c>
      <c r="C553" s="4" t="s">
        <v>68</v>
      </c>
      <c r="D553" s="4" t="s">
        <v>65</v>
      </c>
      <c r="E553">
        <v>51</v>
      </c>
      <c r="F553">
        <v>25520</v>
      </c>
      <c r="G553">
        <v>10000</v>
      </c>
    </row>
    <row r="554" spans="1:7" x14ac:dyDescent="0.25">
      <c r="A554" s="5">
        <v>43511</v>
      </c>
      <c r="B554" s="4" t="s">
        <v>74</v>
      </c>
      <c r="C554" s="4" t="s">
        <v>68</v>
      </c>
      <c r="D554" s="4" t="s">
        <v>67</v>
      </c>
      <c r="E554">
        <v>176</v>
      </c>
      <c r="F554">
        <v>88000</v>
      </c>
      <c r="G554">
        <v>0</v>
      </c>
    </row>
    <row r="555" spans="1:7" x14ac:dyDescent="0.25">
      <c r="A555" s="5">
        <v>43511</v>
      </c>
      <c r="B555" s="4" t="s">
        <v>74</v>
      </c>
      <c r="C555" s="4" t="s">
        <v>68</v>
      </c>
      <c r="D555" s="4" t="s">
        <v>62</v>
      </c>
      <c r="E555">
        <v>297</v>
      </c>
      <c r="F555">
        <v>148610</v>
      </c>
      <c r="G555">
        <v>50000</v>
      </c>
    </row>
    <row r="556" spans="1:7" x14ac:dyDescent="0.25">
      <c r="A556" s="5">
        <v>43511</v>
      </c>
      <c r="B556" s="4" t="s">
        <v>74</v>
      </c>
      <c r="C556" s="4" t="s">
        <v>73</v>
      </c>
      <c r="D556" s="4" t="s">
        <v>71</v>
      </c>
      <c r="E556">
        <v>314</v>
      </c>
      <c r="F556">
        <v>156945</v>
      </c>
      <c r="G556">
        <v>25000</v>
      </c>
    </row>
    <row r="557" spans="1:7" x14ac:dyDescent="0.25">
      <c r="A557" s="5">
        <v>43511</v>
      </c>
      <c r="B557" s="4" t="s">
        <v>74</v>
      </c>
      <c r="C557" s="4" t="s">
        <v>73</v>
      </c>
      <c r="D557" s="4" t="s">
        <v>64</v>
      </c>
      <c r="E557">
        <v>185</v>
      </c>
      <c r="F557">
        <v>92275</v>
      </c>
      <c r="G557">
        <v>0</v>
      </c>
    </row>
    <row r="558" spans="1:7" x14ac:dyDescent="0.25">
      <c r="A558" s="5">
        <v>43511</v>
      </c>
      <c r="B558" s="4" t="s">
        <v>74</v>
      </c>
      <c r="C558" s="4" t="s">
        <v>73</v>
      </c>
      <c r="D558" s="4" t="s">
        <v>57</v>
      </c>
      <c r="E558">
        <v>290</v>
      </c>
      <c r="F558">
        <v>144785</v>
      </c>
      <c r="G558">
        <v>100000</v>
      </c>
    </row>
    <row r="559" spans="1:7" x14ac:dyDescent="0.25">
      <c r="A559" s="5">
        <v>43511</v>
      </c>
      <c r="B559" s="4" t="s">
        <v>74</v>
      </c>
      <c r="C559" s="4" t="s">
        <v>73</v>
      </c>
      <c r="D559" s="4" t="s">
        <v>64</v>
      </c>
      <c r="E559">
        <v>399</v>
      </c>
      <c r="F559">
        <v>199335</v>
      </c>
      <c r="G559">
        <v>100000</v>
      </c>
    </row>
    <row r="560" spans="1:7" x14ac:dyDescent="0.25">
      <c r="A560" s="5">
        <v>43511</v>
      </c>
      <c r="B560" s="4" t="s">
        <v>74</v>
      </c>
      <c r="C560" s="4" t="s">
        <v>73</v>
      </c>
      <c r="D560" s="4" t="s">
        <v>55</v>
      </c>
      <c r="E560">
        <v>2729</v>
      </c>
      <c r="F560">
        <v>1364395</v>
      </c>
      <c r="G560">
        <v>100000</v>
      </c>
    </row>
    <row r="561" spans="1:7" x14ac:dyDescent="0.25">
      <c r="A561" s="5">
        <v>43511</v>
      </c>
      <c r="B561" s="4" t="s">
        <v>74</v>
      </c>
      <c r="C561" s="4" t="s">
        <v>73</v>
      </c>
      <c r="D561" s="4" t="s">
        <v>54</v>
      </c>
      <c r="E561">
        <v>562</v>
      </c>
      <c r="F561">
        <v>281055</v>
      </c>
      <c r="G561">
        <v>0</v>
      </c>
    </row>
    <row r="562" spans="1:7" x14ac:dyDescent="0.25">
      <c r="A562" s="5">
        <v>43511</v>
      </c>
      <c r="B562" s="4" t="s">
        <v>74</v>
      </c>
      <c r="C562" s="4" t="s">
        <v>73</v>
      </c>
      <c r="D562" s="4" t="s">
        <v>61</v>
      </c>
      <c r="E562">
        <v>216</v>
      </c>
      <c r="F562">
        <v>108130</v>
      </c>
      <c r="G562">
        <v>82000</v>
      </c>
    </row>
    <row r="563" spans="1:7" x14ac:dyDescent="0.25">
      <c r="A563" s="5">
        <v>43511</v>
      </c>
      <c r="B563" s="4" t="s">
        <v>74</v>
      </c>
      <c r="C563" s="4" t="s">
        <v>73</v>
      </c>
      <c r="D563" s="4" t="s">
        <v>56</v>
      </c>
      <c r="E563">
        <v>123</v>
      </c>
      <c r="F563">
        <v>61480</v>
      </c>
      <c r="G563">
        <v>45000</v>
      </c>
    </row>
    <row r="564" spans="1:7" x14ac:dyDescent="0.25">
      <c r="A564" s="5">
        <v>43511</v>
      </c>
      <c r="B564" s="4" t="s">
        <v>74</v>
      </c>
      <c r="C564" s="4" t="s">
        <v>73</v>
      </c>
      <c r="D564" s="4" t="s">
        <v>57</v>
      </c>
      <c r="E564">
        <v>358</v>
      </c>
      <c r="F564">
        <v>179110</v>
      </c>
      <c r="G564">
        <v>45000</v>
      </c>
    </row>
    <row r="565" spans="1:7" x14ac:dyDescent="0.25">
      <c r="A565" s="5">
        <v>43511</v>
      </c>
      <c r="B565" s="4" t="s">
        <v>74</v>
      </c>
      <c r="C565" s="4" t="s">
        <v>73</v>
      </c>
      <c r="D565" s="4" t="s">
        <v>62</v>
      </c>
      <c r="E565">
        <v>36</v>
      </c>
      <c r="F565">
        <v>18000</v>
      </c>
      <c r="G565">
        <v>0</v>
      </c>
    </row>
    <row r="566" spans="1:7" x14ac:dyDescent="0.25">
      <c r="A566" s="5">
        <v>43511</v>
      </c>
      <c r="B566" s="4" t="s">
        <v>74</v>
      </c>
      <c r="C566" s="4" t="s">
        <v>73</v>
      </c>
      <c r="D566" s="4" t="s">
        <v>59</v>
      </c>
      <c r="E566">
        <v>305</v>
      </c>
      <c r="F566">
        <v>152470</v>
      </c>
      <c r="G566">
        <v>0</v>
      </c>
    </row>
    <row r="567" spans="1:7" x14ac:dyDescent="0.25">
      <c r="A567" s="5">
        <v>43511</v>
      </c>
      <c r="B567" s="4" t="s">
        <v>74</v>
      </c>
      <c r="C567" s="4" t="s">
        <v>73</v>
      </c>
      <c r="D567" s="4" t="s">
        <v>64</v>
      </c>
      <c r="E567">
        <v>988</v>
      </c>
      <c r="F567">
        <v>494030</v>
      </c>
      <c r="G567">
        <v>0</v>
      </c>
    </row>
    <row r="568" spans="1:7" x14ac:dyDescent="0.25">
      <c r="A568" s="5">
        <v>43511</v>
      </c>
      <c r="B568" s="4" t="s">
        <v>74</v>
      </c>
      <c r="C568" s="4" t="s">
        <v>73</v>
      </c>
      <c r="D568" s="4" t="s">
        <v>63</v>
      </c>
      <c r="E568">
        <v>25</v>
      </c>
      <c r="F568">
        <v>12435</v>
      </c>
      <c r="G568">
        <v>10000</v>
      </c>
    </row>
    <row r="569" spans="1:7" x14ac:dyDescent="0.25">
      <c r="A569" s="5">
        <v>43511</v>
      </c>
      <c r="B569" s="4" t="s">
        <v>74</v>
      </c>
      <c r="C569" s="4" t="s">
        <v>73</v>
      </c>
      <c r="D569" s="4" t="s">
        <v>57</v>
      </c>
      <c r="E569">
        <v>224</v>
      </c>
      <c r="F569">
        <v>111985</v>
      </c>
      <c r="G569">
        <v>0</v>
      </c>
    </row>
    <row r="570" spans="1:7" x14ac:dyDescent="0.25">
      <c r="A570" s="5">
        <v>43511</v>
      </c>
      <c r="B570" s="4" t="s">
        <v>74</v>
      </c>
      <c r="C570" s="4" t="s">
        <v>73</v>
      </c>
      <c r="D570" s="4" t="s">
        <v>61</v>
      </c>
      <c r="E570">
        <v>292</v>
      </c>
      <c r="F570">
        <v>146000</v>
      </c>
      <c r="G570">
        <v>0</v>
      </c>
    </row>
    <row r="571" spans="1:7" x14ac:dyDescent="0.25">
      <c r="A571" s="5">
        <v>43511</v>
      </c>
      <c r="B571" s="4" t="s">
        <v>74</v>
      </c>
      <c r="C571" s="4" t="s">
        <v>73</v>
      </c>
      <c r="D571" s="4" t="s">
        <v>54</v>
      </c>
      <c r="E571">
        <v>394</v>
      </c>
      <c r="F571">
        <v>196895</v>
      </c>
      <c r="G571">
        <v>50000</v>
      </c>
    </row>
    <row r="572" spans="1:7" x14ac:dyDescent="0.25">
      <c r="A572" s="5">
        <v>43511</v>
      </c>
      <c r="B572" s="4" t="s">
        <v>74</v>
      </c>
      <c r="C572" s="4" t="s">
        <v>73</v>
      </c>
      <c r="D572" s="4" t="s">
        <v>67</v>
      </c>
      <c r="E572">
        <v>77</v>
      </c>
      <c r="F572">
        <v>38615</v>
      </c>
      <c r="G572">
        <v>0</v>
      </c>
    </row>
    <row r="573" spans="1:7" x14ac:dyDescent="0.25">
      <c r="A573" s="5">
        <v>43511</v>
      </c>
      <c r="B573" s="4" t="s">
        <v>74</v>
      </c>
      <c r="C573" s="4" t="s">
        <v>73</v>
      </c>
      <c r="D573" s="4" t="s">
        <v>66</v>
      </c>
      <c r="E573">
        <v>166</v>
      </c>
      <c r="F573">
        <v>82935</v>
      </c>
      <c r="G573">
        <v>0</v>
      </c>
    </row>
    <row r="574" spans="1:7" x14ac:dyDescent="0.25">
      <c r="A574" s="5">
        <v>43511</v>
      </c>
      <c r="B574" s="4" t="s">
        <v>74</v>
      </c>
      <c r="C574" s="4" t="s">
        <v>73</v>
      </c>
      <c r="D574" s="4" t="s">
        <v>55</v>
      </c>
      <c r="E574">
        <v>309</v>
      </c>
      <c r="F574">
        <v>154580</v>
      </c>
      <c r="G574">
        <v>0</v>
      </c>
    </row>
    <row r="575" spans="1:7" x14ac:dyDescent="0.25">
      <c r="A575" s="5">
        <v>43512</v>
      </c>
      <c r="B575" s="4" t="s">
        <v>74</v>
      </c>
      <c r="C575" s="4" t="s">
        <v>72</v>
      </c>
      <c r="D575" s="4" t="s">
        <v>55</v>
      </c>
      <c r="E575">
        <v>493</v>
      </c>
      <c r="F575">
        <v>246420</v>
      </c>
      <c r="G575">
        <v>164000</v>
      </c>
    </row>
    <row r="576" spans="1:7" x14ac:dyDescent="0.25">
      <c r="A576" s="5">
        <v>43512</v>
      </c>
      <c r="B576" s="4" t="s">
        <v>74</v>
      </c>
      <c r="C576" s="4" t="s">
        <v>52</v>
      </c>
      <c r="D576" s="4" t="s">
        <v>53</v>
      </c>
      <c r="E576">
        <v>276</v>
      </c>
      <c r="F576">
        <v>138225</v>
      </c>
      <c r="G576">
        <v>0</v>
      </c>
    </row>
    <row r="577" spans="1:7" x14ac:dyDescent="0.25">
      <c r="A577" s="5">
        <v>43512</v>
      </c>
      <c r="B577" s="4" t="s">
        <v>74</v>
      </c>
      <c r="C577" s="4" t="s">
        <v>52</v>
      </c>
      <c r="D577" s="4" t="s">
        <v>66</v>
      </c>
      <c r="E577">
        <v>112</v>
      </c>
      <c r="F577">
        <v>56225</v>
      </c>
      <c r="G577">
        <v>10000</v>
      </c>
    </row>
    <row r="578" spans="1:7" x14ac:dyDescent="0.25">
      <c r="A578" s="5">
        <v>43512</v>
      </c>
      <c r="B578" s="4" t="s">
        <v>74</v>
      </c>
      <c r="C578" s="4" t="s">
        <v>52</v>
      </c>
      <c r="D578" s="4" t="s">
        <v>60</v>
      </c>
      <c r="E578">
        <v>186</v>
      </c>
      <c r="F578">
        <v>93029</v>
      </c>
      <c r="G578">
        <v>0</v>
      </c>
    </row>
    <row r="579" spans="1:7" x14ac:dyDescent="0.25">
      <c r="A579" s="5">
        <v>43513</v>
      </c>
      <c r="B579" s="4" t="s">
        <v>74</v>
      </c>
      <c r="C579" s="4" t="s">
        <v>52</v>
      </c>
      <c r="D579" s="4" t="s">
        <v>55</v>
      </c>
      <c r="E579">
        <v>171</v>
      </c>
      <c r="F579">
        <v>85310</v>
      </c>
      <c r="G579">
        <v>0</v>
      </c>
    </row>
    <row r="580" spans="1:7" x14ac:dyDescent="0.25">
      <c r="A580" s="5">
        <v>43513</v>
      </c>
      <c r="B580" s="4" t="s">
        <v>74</v>
      </c>
      <c r="C580" s="4" t="s">
        <v>52</v>
      </c>
      <c r="D580" s="4" t="s">
        <v>53</v>
      </c>
      <c r="E580">
        <v>91</v>
      </c>
      <c r="F580">
        <v>45430</v>
      </c>
      <c r="G580">
        <v>70000</v>
      </c>
    </row>
    <row r="581" spans="1:7" x14ac:dyDescent="0.25">
      <c r="A581" s="5">
        <v>43513</v>
      </c>
      <c r="B581" s="4" t="s">
        <v>74</v>
      </c>
      <c r="C581" s="4" t="s">
        <v>52</v>
      </c>
      <c r="D581" s="4" t="s">
        <v>67</v>
      </c>
      <c r="E581">
        <v>206</v>
      </c>
      <c r="F581">
        <v>102758</v>
      </c>
      <c r="G581">
        <v>0</v>
      </c>
    </row>
    <row r="582" spans="1:7" x14ac:dyDescent="0.25">
      <c r="A582" s="5">
        <v>43513</v>
      </c>
      <c r="B582" s="4" t="s">
        <v>74</v>
      </c>
      <c r="C582" s="4" t="s">
        <v>52</v>
      </c>
      <c r="D582" s="4" t="s">
        <v>55</v>
      </c>
      <c r="E582">
        <v>40</v>
      </c>
      <c r="F582">
        <v>20160</v>
      </c>
      <c r="G582">
        <v>0</v>
      </c>
    </row>
    <row r="583" spans="1:7" x14ac:dyDescent="0.25">
      <c r="A583" s="5">
        <v>43513</v>
      </c>
      <c r="B583" s="4" t="s">
        <v>74</v>
      </c>
      <c r="C583" s="4" t="s">
        <v>52</v>
      </c>
      <c r="D583" s="4" t="s">
        <v>53</v>
      </c>
      <c r="E583">
        <v>607</v>
      </c>
      <c r="F583">
        <v>303693</v>
      </c>
      <c r="G583">
        <v>100000</v>
      </c>
    </row>
    <row r="584" spans="1:7" x14ac:dyDescent="0.25">
      <c r="A584" s="5">
        <v>43514</v>
      </c>
      <c r="B584" s="4" t="s">
        <v>74</v>
      </c>
      <c r="C584" s="4" t="s">
        <v>72</v>
      </c>
      <c r="D584" s="4" t="s">
        <v>54</v>
      </c>
      <c r="E584">
        <v>55</v>
      </c>
      <c r="F584">
        <v>27390</v>
      </c>
      <c r="G584">
        <v>0</v>
      </c>
    </row>
    <row r="585" spans="1:7" x14ac:dyDescent="0.25">
      <c r="A585" s="5">
        <v>43514</v>
      </c>
      <c r="B585" s="4" t="s">
        <v>74</v>
      </c>
      <c r="C585" s="4" t="s">
        <v>72</v>
      </c>
      <c r="D585" s="4" t="s">
        <v>55</v>
      </c>
      <c r="E585">
        <v>46</v>
      </c>
      <c r="F585">
        <v>23090</v>
      </c>
      <c r="G585">
        <v>23115</v>
      </c>
    </row>
    <row r="586" spans="1:7" x14ac:dyDescent="0.25">
      <c r="A586" s="5">
        <v>43514</v>
      </c>
      <c r="B586" s="4" t="s">
        <v>74</v>
      </c>
      <c r="C586" s="4" t="s">
        <v>52</v>
      </c>
      <c r="D586" s="4" t="s">
        <v>55</v>
      </c>
      <c r="E586">
        <v>127</v>
      </c>
      <c r="F586">
        <v>63489</v>
      </c>
      <c r="G586">
        <v>0</v>
      </c>
    </row>
    <row r="587" spans="1:7" x14ac:dyDescent="0.25">
      <c r="A587" s="5">
        <v>43516</v>
      </c>
      <c r="B587" s="4" t="s">
        <v>74</v>
      </c>
      <c r="C587" s="4" t="s">
        <v>52</v>
      </c>
      <c r="D587" s="4" t="s">
        <v>57</v>
      </c>
      <c r="E587">
        <v>134</v>
      </c>
      <c r="F587">
        <v>66940</v>
      </c>
      <c r="G587">
        <v>0</v>
      </c>
    </row>
    <row r="588" spans="1:7" x14ac:dyDescent="0.25">
      <c r="A588" s="5">
        <v>43516</v>
      </c>
      <c r="B588" s="4" t="s">
        <v>74</v>
      </c>
      <c r="C588" s="4" t="s">
        <v>52</v>
      </c>
      <c r="D588" s="4" t="s">
        <v>57</v>
      </c>
      <c r="E588">
        <v>295</v>
      </c>
      <c r="F588">
        <v>147740</v>
      </c>
      <c r="G588">
        <v>0</v>
      </c>
    </row>
    <row r="589" spans="1:7" x14ac:dyDescent="0.25">
      <c r="A589" s="5">
        <v>43516</v>
      </c>
      <c r="B589" s="4" t="s">
        <v>74</v>
      </c>
      <c r="C589" s="4" t="s">
        <v>52</v>
      </c>
      <c r="D589" s="4" t="s">
        <v>53</v>
      </c>
      <c r="E589">
        <v>600</v>
      </c>
      <c r="F589">
        <v>299996</v>
      </c>
      <c r="G589">
        <v>110000</v>
      </c>
    </row>
    <row r="590" spans="1:7" x14ac:dyDescent="0.25">
      <c r="A590" s="5">
        <v>43516</v>
      </c>
      <c r="B590" s="4" t="s">
        <v>74</v>
      </c>
      <c r="C590" s="4" t="s">
        <v>52</v>
      </c>
      <c r="D590" s="4" t="s">
        <v>54</v>
      </c>
      <c r="E590">
        <v>50</v>
      </c>
      <c r="F590">
        <v>25240</v>
      </c>
      <c r="G590">
        <v>10000</v>
      </c>
    </row>
    <row r="591" spans="1:7" x14ac:dyDescent="0.25">
      <c r="A591" s="5">
        <v>43516</v>
      </c>
      <c r="B591" s="4" t="s">
        <v>74</v>
      </c>
      <c r="C591" s="4" t="s">
        <v>52</v>
      </c>
      <c r="D591" s="4" t="s">
        <v>55</v>
      </c>
      <c r="E591">
        <v>45</v>
      </c>
      <c r="F591">
        <v>22676</v>
      </c>
      <c r="G591">
        <v>0</v>
      </c>
    </row>
    <row r="592" spans="1:7" x14ac:dyDescent="0.25">
      <c r="A592" s="5">
        <v>43516</v>
      </c>
      <c r="B592" s="4" t="s">
        <v>74</v>
      </c>
      <c r="C592" s="4" t="s">
        <v>52</v>
      </c>
      <c r="D592" s="4" t="s">
        <v>53</v>
      </c>
      <c r="E592">
        <v>459</v>
      </c>
      <c r="F592">
        <v>229368</v>
      </c>
      <c r="G592">
        <v>0</v>
      </c>
    </row>
    <row r="593" spans="1:7" x14ac:dyDescent="0.25">
      <c r="A593" s="5">
        <v>43518</v>
      </c>
      <c r="B593" s="4" t="s">
        <v>74</v>
      </c>
      <c r="C593" s="4" t="s">
        <v>72</v>
      </c>
      <c r="D593" s="4" t="s">
        <v>57</v>
      </c>
      <c r="E593">
        <v>158</v>
      </c>
      <c r="F593">
        <v>78880</v>
      </c>
      <c r="G593">
        <v>30000</v>
      </c>
    </row>
    <row r="594" spans="1:7" x14ac:dyDescent="0.25">
      <c r="A594" s="5">
        <v>43518</v>
      </c>
      <c r="B594" s="4" t="s">
        <v>74</v>
      </c>
      <c r="C594" s="4" t="s">
        <v>72</v>
      </c>
      <c r="D594" s="4" t="s">
        <v>56</v>
      </c>
      <c r="E594">
        <v>81</v>
      </c>
      <c r="F594">
        <v>40695</v>
      </c>
      <c r="G594">
        <v>0</v>
      </c>
    </row>
    <row r="595" spans="1:7" x14ac:dyDescent="0.25">
      <c r="A595" s="5">
        <v>43518</v>
      </c>
      <c r="B595" s="4" t="s">
        <v>74</v>
      </c>
      <c r="C595" s="4" t="s">
        <v>72</v>
      </c>
      <c r="D595" s="4" t="s">
        <v>55</v>
      </c>
      <c r="E595">
        <v>181</v>
      </c>
      <c r="F595">
        <v>90410</v>
      </c>
      <c r="G595">
        <v>20000</v>
      </c>
    </row>
    <row r="596" spans="1:7" x14ac:dyDescent="0.25">
      <c r="A596" s="5">
        <v>43518</v>
      </c>
      <c r="B596" s="4" t="s">
        <v>74</v>
      </c>
      <c r="C596" s="4" t="s">
        <v>52</v>
      </c>
      <c r="D596" s="4" t="s">
        <v>61</v>
      </c>
      <c r="E596">
        <v>30</v>
      </c>
      <c r="F596">
        <v>14800</v>
      </c>
      <c r="G596">
        <v>12000</v>
      </c>
    </row>
    <row r="597" spans="1:7" x14ac:dyDescent="0.25">
      <c r="A597" s="5">
        <v>43518</v>
      </c>
      <c r="B597" s="4" t="s">
        <v>74</v>
      </c>
      <c r="C597" s="4" t="s">
        <v>52</v>
      </c>
      <c r="D597" s="4" t="s">
        <v>55</v>
      </c>
      <c r="E597">
        <v>149</v>
      </c>
      <c r="F597">
        <v>74722</v>
      </c>
      <c r="G597">
        <v>3000</v>
      </c>
    </row>
    <row r="598" spans="1:7" x14ac:dyDescent="0.25">
      <c r="A598" s="5">
        <v>43518</v>
      </c>
      <c r="B598" s="4" t="s">
        <v>74</v>
      </c>
      <c r="C598" s="4" t="s">
        <v>68</v>
      </c>
      <c r="D598" s="4" t="s">
        <v>54</v>
      </c>
      <c r="E598">
        <v>396</v>
      </c>
      <c r="F598">
        <v>197840</v>
      </c>
      <c r="G598">
        <v>370000</v>
      </c>
    </row>
    <row r="599" spans="1:7" x14ac:dyDescent="0.25">
      <c r="A599" s="5">
        <v>43518</v>
      </c>
      <c r="B599" s="4" t="s">
        <v>74</v>
      </c>
      <c r="C599" s="4" t="s">
        <v>68</v>
      </c>
      <c r="D599" s="4" t="s">
        <v>65</v>
      </c>
      <c r="E599">
        <v>32</v>
      </c>
      <c r="F599">
        <v>15950</v>
      </c>
      <c r="G599">
        <v>46000</v>
      </c>
    </row>
    <row r="600" spans="1:7" x14ac:dyDescent="0.25">
      <c r="A600" s="5">
        <v>43518</v>
      </c>
      <c r="B600" s="4" t="s">
        <v>74</v>
      </c>
      <c r="C600" s="4" t="s">
        <v>68</v>
      </c>
      <c r="D600" s="4" t="s">
        <v>61</v>
      </c>
      <c r="E600">
        <v>819</v>
      </c>
      <c r="F600">
        <v>409420</v>
      </c>
      <c r="G600">
        <v>71000</v>
      </c>
    </row>
    <row r="601" spans="1:7" x14ac:dyDescent="0.25">
      <c r="A601" s="5">
        <v>43518</v>
      </c>
      <c r="B601" s="4" t="s">
        <v>74</v>
      </c>
      <c r="C601" s="4" t="s">
        <v>68</v>
      </c>
      <c r="D601" s="4" t="s">
        <v>60</v>
      </c>
      <c r="E601">
        <v>769</v>
      </c>
      <c r="F601">
        <v>384720</v>
      </c>
      <c r="G601">
        <v>0</v>
      </c>
    </row>
    <row r="602" spans="1:7" x14ac:dyDescent="0.25">
      <c r="A602" s="5">
        <v>43518</v>
      </c>
      <c r="B602" s="4" t="s">
        <v>74</v>
      </c>
      <c r="C602" s="4" t="s">
        <v>68</v>
      </c>
      <c r="D602" s="4" t="s">
        <v>54</v>
      </c>
      <c r="E602">
        <v>535</v>
      </c>
      <c r="F602">
        <v>267270</v>
      </c>
      <c r="G602">
        <v>62400</v>
      </c>
    </row>
    <row r="603" spans="1:7" x14ac:dyDescent="0.25">
      <c r="A603" s="5">
        <v>43518</v>
      </c>
      <c r="B603" s="4" t="s">
        <v>74</v>
      </c>
      <c r="C603" s="4" t="s">
        <v>68</v>
      </c>
      <c r="D603" s="4" t="s">
        <v>64</v>
      </c>
      <c r="E603">
        <v>1803</v>
      </c>
      <c r="F603">
        <v>901400</v>
      </c>
      <c r="G603">
        <v>550000</v>
      </c>
    </row>
    <row r="604" spans="1:7" x14ac:dyDescent="0.25">
      <c r="A604" s="5">
        <v>43518</v>
      </c>
      <c r="B604" s="4" t="s">
        <v>74</v>
      </c>
      <c r="C604" s="4" t="s">
        <v>68</v>
      </c>
      <c r="D604" s="4" t="s">
        <v>64</v>
      </c>
      <c r="E604">
        <v>2421</v>
      </c>
      <c r="F604">
        <v>1210620</v>
      </c>
      <c r="G604">
        <v>182400</v>
      </c>
    </row>
    <row r="605" spans="1:7" x14ac:dyDescent="0.25">
      <c r="A605" s="5">
        <v>43518</v>
      </c>
      <c r="B605" s="4" t="s">
        <v>74</v>
      </c>
      <c r="C605" s="4" t="s">
        <v>68</v>
      </c>
      <c r="D605" s="4" t="s">
        <v>57</v>
      </c>
      <c r="E605">
        <v>2603</v>
      </c>
      <c r="F605">
        <v>1301380</v>
      </c>
      <c r="G605">
        <v>727000</v>
      </c>
    </row>
    <row r="606" spans="1:7" x14ac:dyDescent="0.25">
      <c r="A606" s="5">
        <v>43518</v>
      </c>
      <c r="B606" s="4" t="s">
        <v>74</v>
      </c>
      <c r="C606" s="4" t="s">
        <v>68</v>
      </c>
      <c r="D606" s="4" t="s">
        <v>57</v>
      </c>
      <c r="E606">
        <v>1659</v>
      </c>
      <c r="F606">
        <v>829720</v>
      </c>
      <c r="G606">
        <v>153000</v>
      </c>
    </row>
    <row r="607" spans="1:7" x14ac:dyDescent="0.25">
      <c r="A607" s="5">
        <v>43518</v>
      </c>
      <c r="B607" s="4" t="s">
        <v>74</v>
      </c>
      <c r="C607" s="4" t="s">
        <v>68</v>
      </c>
      <c r="D607" s="4" t="s">
        <v>57</v>
      </c>
      <c r="E607">
        <v>285</v>
      </c>
      <c r="F607">
        <v>142430</v>
      </c>
      <c r="G607">
        <v>119000</v>
      </c>
    </row>
    <row r="608" spans="1:7" x14ac:dyDescent="0.25">
      <c r="A608" s="5">
        <v>43518</v>
      </c>
      <c r="B608" s="4" t="s">
        <v>74</v>
      </c>
      <c r="C608" s="4" t="s">
        <v>68</v>
      </c>
      <c r="D608" s="4" t="s">
        <v>55</v>
      </c>
      <c r="E608">
        <v>352</v>
      </c>
      <c r="F608">
        <v>175950</v>
      </c>
      <c r="G608">
        <v>187030</v>
      </c>
    </row>
    <row r="609" spans="1:7" x14ac:dyDescent="0.25">
      <c r="A609" s="5">
        <v>43518</v>
      </c>
      <c r="B609" s="4" t="s">
        <v>74</v>
      </c>
      <c r="C609" s="4" t="s">
        <v>68</v>
      </c>
      <c r="D609" s="4" t="s">
        <v>53</v>
      </c>
      <c r="E609">
        <v>687</v>
      </c>
      <c r="F609">
        <v>343610</v>
      </c>
      <c r="G609">
        <v>897430</v>
      </c>
    </row>
    <row r="610" spans="1:7" x14ac:dyDescent="0.25">
      <c r="A610" s="5">
        <v>43518</v>
      </c>
      <c r="B610" s="4" t="s">
        <v>74</v>
      </c>
      <c r="C610" s="4" t="s">
        <v>68</v>
      </c>
      <c r="D610" s="4" t="s">
        <v>58</v>
      </c>
      <c r="E610">
        <v>208</v>
      </c>
      <c r="F610">
        <v>104010</v>
      </c>
      <c r="G610">
        <v>20000</v>
      </c>
    </row>
    <row r="611" spans="1:7" x14ac:dyDescent="0.25">
      <c r="A611" s="5">
        <v>43518</v>
      </c>
      <c r="B611" s="4" t="s">
        <v>74</v>
      </c>
      <c r="C611" s="4" t="s">
        <v>68</v>
      </c>
      <c r="D611" s="4" t="s">
        <v>58</v>
      </c>
      <c r="E611">
        <v>255</v>
      </c>
      <c r="F611">
        <v>127400</v>
      </c>
      <c r="G611">
        <v>165000</v>
      </c>
    </row>
    <row r="612" spans="1:7" x14ac:dyDescent="0.25">
      <c r="A612" s="5">
        <v>43518</v>
      </c>
      <c r="B612" s="4" t="s">
        <v>74</v>
      </c>
      <c r="C612" s="4" t="s">
        <v>68</v>
      </c>
      <c r="D612" s="4" t="s">
        <v>61</v>
      </c>
      <c r="E612">
        <v>52</v>
      </c>
      <c r="F612">
        <v>25870</v>
      </c>
      <c r="G612">
        <v>30000</v>
      </c>
    </row>
    <row r="613" spans="1:7" x14ac:dyDescent="0.25">
      <c r="A613" s="5">
        <v>43518</v>
      </c>
      <c r="B613" s="4" t="s">
        <v>74</v>
      </c>
      <c r="C613" s="4" t="s">
        <v>68</v>
      </c>
      <c r="D613" s="4" t="s">
        <v>56</v>
      </c>
      <c r="E613">
        <v>245</v>
      </c>
      <c r="F613">
        <v>122700</v>
      </c>
      <c r="G613">
        <v>35000</v>
      </c>
    </row>
    <row r="614" spans="1:7" x14ac:dyDescent="0.25">
      <c r="A614" s="5">
        <v>43518</v>
      </c>
      <c r="B614" s="4" t="s">
        <v>74</v>
      </c>
      <c r="C614" s="4" t="s">
        <v>68</v>
      </c>
      <c r="D614" s="4" t="s">
        <v>70</v>
      </c>
      <c r="E614">
        <v>158</v>
      </c>
      <c r="F614">
        <v>79040</v>
      </c>
      <c r="G614">
        <v>80000</v>
      </c>
    </row>
    <row r="615" spans="1:7" x14ac:dyDescent="0.25">
      <c r="A615" s="5">
        <v>43518</v>
      </c>
      <c r="B615" s="4" t="s">
        <v>74</v>
      </c>
      <c r="C615" s="4" t="s">
        <v>68</v>
      </c>
      <c r="D615" s="4" t="s">
        <v>55</v>
      </c>
      <c r="E615">
        <v>217</v>
      </c>
      <c r="F615">
        <v>108590</v>
      </c>
      <c r="G615">
        <v>94400</v>
      </c>
    </row>
    <row r="616" spans="1:7" x14ac:dyDescent="0.25">
      <c r="A616" s="5">
        <v>43518</v>
      </c>
      <c r="B616" s="4" t="s">
        <v>74</v>
      </c>
      <c r="C616" s="4" t="s">
        <v>68</v>
      </c>
      <c r="D616" s="4" t="s">
        <v>54</v>
      </c>
      <c r="E616">
        <v>601</v>
      </c>
      <c r="F616">
        <v>300590</v>
      </c>
      <c r="G616">
        <v>50000</v>
      </c>
    </row>
    <row r="617" spans="1:7" x14ac:dyDescent="0.25">
      <c r="A617" s="5">
        <v>43518</v>
      </c>
      <c r="B617" s="4" t="s">
        <v>74</v>
      </c>
      <c r="C617" s="4" t="s">
        <v>68</v>
      </c>
      <c r="D617" s="4" t="s">
        <v>57</v>
      </c>
      <c r="E617">
        <v>1817</v>
      </c>
      <c r="F617">
        <v>908700</v>
      </c>
      <c r="G617">
        <v>183100</v>
      </c>
    </row>
    <row r="618" spans="1:7" x14ac:dyDescent="0.25">
      <c r="A618" s="5">
        <v>43518</v>
      </c>
      <c r="B618" s="4" t="s">
        <v>74</v>
      </c>
      <c r="C618" s="4" t="s">
        <v>68</v>
      </c>
      <c r="D618" s="4" t="s">
        <v>61</v>
      </c>
      <c r="E618">
        <v>119</v>
      </c>
      <c r="F618">
        <v>59630</v>
      </c>
      <c r="G618">
        <v>75000</v>
      </c>
    </row>
    <row r="619" spans="1:7" x14ac:dyDescent="0.25">
      <c r="A619" s="5">
        <v>43518</v>
      </c>
      <c r="B619" s="4" t="s">
        <v>74</v>
      </c>
      <c r="C619" s="4" t="s">
        <v>68</v>
      </c>
      <c r="D619" s="4" t="s">
        <v>54</v>
      </c>
      <c r="E619">
        <v>2352</v>
      </c>
      <c r="F619">
        <v>1175960</v>
      </c>
      <c r="G619">
        <v>209000</v>
      </c>
    </row>
    <row r="620" spans="1:7" x14ac:dyDescent="0.25">
      <c r="A620" s="5">
        <v>43518</v>
      </c>
      <c r="B620" s="4" t="s">
        <v>74</v>
      </c>
      <c r="C620" s="4" t="s">
        <v>68</v>
      </c>
      <c r="D620" s="4" t="s">
        <v>54</v>
      </c>
      <c r="E620">
        <v>335</v>
      </c>
      <c r="F620">
        <v>167620</v>
      </c>
      <c r="G620">
        <v>0</v>
      </c>
    </row>
    <row r="621" spans="1:7" x14ac:dyDescent="0.25">
      <c r="A621" s="5">
        <v>43518</v>
      </c>
      <c r="B621" s="4" t="s">
        <v>74</v>
      </c>
      <c r="C621" s="4" t="s">
        <v>68</v>
      </c>
      <c r="D621" s="4" t="s">
        <v>57</v>
      </c>
      <c r="E621">
        <v>314</v>
      </c>
      <c r="F621">
        <v>156900</v>
      </c>
      <c r="G621">
        <v>0</v>
      </c>
    </row>
    <row r="622" spans="1:7" x14ac:dyDescent="0.25">
      <c r="A622" s="5">
        <v>43518</v>
      </c>
      <c r="B622" s="4" t="s">
        <v>74</v>
      </c>
      <c r="C622" s="4" t="s">
        <v>68</v>
      </c>
      <c r="D622" s="4" t="s">
        <v>71</v>
      </c>
      <c r="E622">
        <v>159</v>
      </c>
      <c r="F622">
        <v>79460</v>
      </c>
      <c r="G622">
        <v>45100</v>
      </c>
    </row>
    <row r="623" spans="1:7" x14ac:dyDescent="0.25">
      <c r="A623" s="5">
        <v>43518</v>
      </c>
      <c r="B623" s="4" t="s">
        <v>74</v>
      </c>
      <c r="C623" s="4" t="s">
        <v>68</v>
      </c>
      <c r="D623" s="4" t="s">
        <v>59</v>
      </c>
      <c r="E623">
        <v>118</v>
      </c>
      <c r="F623">
        <v>58760</v>
      </c>
      <c r="G623">
        <v>46690</v>
      </c>
    </row>
    <row r="624" spans="1:7" x14ac:dyDescent="0.25">
      <c r="A624" s="5">
        <v>43518</v>
      </c>
      <c r="B624" s="4" t="s">
        <v>74</v>
      </c>
      <c r="C624" s="4" t="s">
        <v>68</v>
      </c>
      <c r="D624" s="4" t="s">
        <v>54</v>
      </c>
      <c r="E624">
        <v>297</v>
      </c>
      <c r="F624">
        <v>148500</v>
      </c>
      <c r="G624">
        <v>0</v>
      </c>
    </row>
    <row r="625" spans="1:7" x14ac:dyDescent="0.25">
      <c r="A625" s="5">
        <v>43518</v>
      </c>
      <c r="B625" s="4" t="s">
        <v>74</v>
      </c>
      <c r="C625" s="4" t="s">
        <v>68</v>
      </c>
      <c r="D625" s="4" t="s">
        <v>66</v>
      </c>
      <c r="E625">
        <v>47</v>
      </c>
      <c r="F625">
        <v>23380</v>
      </c>
      <c r="G625">
        <v>20000</v>
      </c>
    </row>
    <row r="626" spans="1:7" x14ac:dyDescent="0.25">
      <c r="A626" s="5">
        <v>43518</v>
      </c>
      <c r="B626" s="4" t="s">
        <v>74</v>
      </c>
      <c r="C626" s="4" t="s">
        <v>68</v>
      </c>
      <c r="D626" s="4" t="s">
        <v>63</v>
      </c>
      <c r="E626">
        <v>480</v>
      </c>
      <c r="F626">
        <v>240250</v>
      </c>
      <c r="G626">
        <v>0</v>
      </c>
    </row>
    <row r="627" spans="1:7" x14ac:dyDescent="0.25">
      <c r="A627" s="5">
        <v>43518</v>
      </c>
      <c r="B627" s="4" t="s">
        <v>74</v>
      </c>
      <c r="C627" s="4" t="s">
        <v>68</v>
      </c>
      <c r="D627" s="4" t="s">
        <v>67</v>
      </c>
      <c r="E627">
        <v>92</v>
      </c>
      <c r="F627">
        <v>46000</v>
      </c>
      <c r="G627">
        <v>26000</v>
      </c>
    </row>
    <row r="628" spans="1:7" x14ac:dyDescent="0.25">
      <c r="A628" s="5">
        <v>43518</v>
      </c>
      <c r="B628" s="4" t="s">
        <v>74</v>
      </c>
      <c r="C628" s="4" t="s">
        <v>73</v>
      </c>
      <c r="D628" s="4" t="s">
        <v>53</v>
      </c>
      <c r="E628">
        <v>146</v>
      </c>
      <c r="F628">
        <v>73175</v>
      </c>
      <c r="G628">
        <v>0</v>
      </c>
    </row>
    <row r="629" spans="1:7" x14ac:dyDescent="0.25">
      <c r="A629" s="5">
        <v>43518</v>
      </c>
      <c r="B629" s="4" t="s">
        <v>74</v>
      </c>
      <c r="C629" s="4" t="s">
        <v>73</v>
      </c>
      <c r="D629" s="4" t="s">
        <v>57</v>
      </c>
      <c r="E629">
        <v>793</v>
      </c>
      <c r="F629">
        <v>396415</v>
      </c>
      <c r="G629">
        <v>70000</v>
      </c>
    </row>
    <row r="630" spans="1:7" x14ac:dyDescent="0.25">
      <c r="A630" s="5">
        <v>43518</v>
      </c>
      <c r="B630" s="4" t="s">
        <v>74</v>
      </c>
      <c r="C630" s="4" t="s">
        <v>73</v>
      </c>
      <c r="D630" s="4" t="s">
        <v>64</v>
      </c>
      <c r="E630">
        <v>90</v>
      </c>
      <c r="F630">
        <v>44900</v>
      </c>
      <c r="G630">
        <v>55000</v>
      </c>
    </row>
    <row r="631" spans="1:7" x14ac:dyDescent="0.25">
      <c r="A631" s="5">
        <v>43518</v>
      </c>
      <c r="B631" s="4" t="s">
        <v>74</v>
      </c>
      <c r="C631" s="4" t="s">
        <v>73</v>
      </c>
      <c r="D631" s="4" t="s">
        <v>54</v>
      </c>
      <c r="E631">
        <v>508</v>
      </c>
      <c r="F631">
        <v>254240</v>
      </c>
      <c r="G631">
        <v>50000</v>
      </c>
    </row>
    <row r="632" spans="1:7" x14ac:dyDescent="0.25">
      <c r="A632" s="5">
        <v>43518</v>
      </c>
      <c r="B632" s="4" t="s">
        <v>74</v>
      </c>
      <c r="C632" s="4" t="s">
        <v>73</v>
      </c>
      <c r="D632" s="4" t="s">
        <v>61</v>
      </c>
      <c r="E632">
        <v>328</v>
      </c>
      <c r="F632">
        <v>164020</v>
      </c>
      <c r="G632">
        <v>73000</v>
      </c>
    </row>
    <row r="633" spans="1:7" x14ac:dyDescent="0.25">
      <c r="A633" s="5">
        <v>43518</v>
      </c>
      <c r="B633" s="4" t="s">
        <v>74</v>
      </c>
      <c r="C633" s="4" t="s">
        <v>73</v>
      </c>
      <c r="D633" s="4" t="s">
        <v>56</v>
      </c>
      <c r="E633">
        <v>134</v>
      </c>
      <c r="F633">
        <v>67115</v>
      </c>
      <c r="G633">
        <v>50000</v>
      </c>
    </row>
    <row r="634" spans="1:7" x14ac:dyDescent="0.25">
      <c r="A634" s="5">
        <v>43518</v>
      </c>
      <c r="B634" s="4" t="s">
        <v>74</v>
      </c>
      <c r="C634" s="4" t="s">
        <v>73</v>
      </c>
      <c r="D634" s="4" t="s">
        <v>57</v>
      </c>
      <c r="E634">
        <v>248</v>
      </c>
      <c r="F634">
        <v>124200</v>
      </c>
      <c r="G634">
        <v>0</v>
      </c>
    </row>
    <row r="635" spans="1:7" x14ac:dyDescent="0.25">
      <c r="A635" s="5">
        <v>43518</v>
      </c>
      <c r="B635" s="4" t="s">
        <v>74</v>
      </c>
      <c r="C635" s="4" t="s">
        <v>73</v>
      </c>
      <c r="D635" s="4" t="s">
        <v>57</v>
      </c>
      <c r="E635">
        <v>107</v>
      </c>
      <c r="F635">
        <v>53525</v>
      </c>
      <c r="G635">
        <v>5000</v>
      </c>
    </row>
    <row r="636" spans="1:7" x14ac:dyDescent="0.25">
      <c r="A636" s="5">
        <v>43518</v>
      </c>
      <c r="B636" s="4" t="s">
        <v>74</v>
      </c>
      <c r="C636" s="4" t="s">
        <v>73</v>
      </c>
      <c r="D636" s="4" t="s">
        <v>60</v>
      </c>
      <c r="E636">
        <v>121</v>
      </c>
      <c r="F636">
        <v>60350</v>
      </c>
      <c r="G636">
        <v>0</v>
      </c>
    </row>
    <row r="637" spans="1:7" x14ac:dyDescent="0.25">
      <c r="A637" s="5">
        <v>43518</v>
      </c>
      <c r="B637" s="4" t="s">
        <v>74</v>
      </c>
      <c r="C637" s="4" t="s">
        <v>73</v>
      </c>
      <c r="D637" s="4" t="s">
        <v>57</v>
      </c>
      <c r="E637">
        <v>238</v>
      </c>
      <c r="F637">
        <v>119210</v>
      </c>
      <c r="G637">
        <v>0</v>
      </c>
    </row>
    <row r="638" spans="1:7" x14ac:dyDescent="0.25">
      <c r="A638" s="5">
        <v>43518</v>
      </c>
      <c r="B638" s="4" t="s">
        <v>74</v>
      </c>
      <c r="C638" s="4" t="s">
        <v>73</v>
      </c>
      <c r="D638" s="4" t="s">
        <v>64</v>
      </c>
      <c r="E638">
        <v>775</v>
      </c>
      <c r="F638">
        <v>387460</v>
      </c>
      <c r="G638">
        <v>265000</v>
      </c>
    </row>
    <row r="639" spans="1:7" x14ac:dyDescent="0.25">
      <c r="A639" s="5">
        <v>43518</v>
      </c>
      <c r="B639" s="4" t="s">
        <v>74</v>
      </c>
      <c r="C639" s="4" t="s">
        <v>73</v>
      </c>
      <c r="D639" s="4" t="s">
        <v>55</v>
      </c>
      <c r="E639">
        <v>116</v>
      </c>
      <c r="F639">
        <v>58065</v>
      </c>
      <c r="G639">
        <v>70000</v>
      </c>
    </row>
    <row r="640" spans="1:7" x14ac:dyDescent="0.25">
      <c r="A640" s="5">
        <v>43518</v>
      </c>
      <c r="B640" s="4" t="s">
        <v>74</v>
      </c>
      <c r="C640" s="4" t="s">
        <v>73</v>
      </c>
      <c r="D640" s="4" t="s">
        <v>54</v>
      </c>
      <c r="E640">
        <v>173</v>
      </c>
      <c r="F640">
        <v>86720</v>
      </c>
      <c r="G640">
        <v>10060</v>
      </c>
    </row>
    <row r="641" spans="1:7" x14ac:dyDescent="0.25">
      <c r="A641" s="5">
        <v>43518</v>
      </c>
      <c r="B641" s="4" t="s">
        <v>74</v>
      </c>
      <c r="C641" s="4" t="s">
        <v>73</v>
      </c>
      <c r="D641" s="4" t="s">
        <v>69</v>
      </c>
      <c r="E641">
        <v>20</v>
      </c>
      <c r="F641">
        <v>10190</v>
      </c>
      <c r="G641">
        <v>10000</v>
      </c>
    </row>
    <row r="642" spans="1:7" x14ac:dyDescent="0.25">
      <c r="A642" s="5">
        <v>43518</v>
      </c>
      <c r="B642" s="4" t="s">
        <v>74</v>
      </c>
      <c r="C642" s="4" t="s">
        <v>73</v>
      </c>
      <c r="D642" s="4" t="s">
        <v>70</v>
      </c>
      <c r="E642">
        <v>37</v>
      </c>
      <c r="F642">
        <v>18610</v>
      </c>
      <c r="G642">
        <v>8000</v>
      </c>
    </row>
    <row r="643" spans="1:7" x14ac:dyDescent="0.25">
      <c r="A643" s="5">
        <v>43518</v>
      </c>
      <c r="B643" s="4" t="s">
        <v>74</v>
      </c>
      <c r="C643" s="4" t="s">
        <v>73</v>
      </c>
      <c r="D643" s="4" t="s">
        <v>63</v>
      </c>
      <c r="E643">
        <v>191</v>
      </c>
      <c r="F643">
        <v>95505</v>
      </c>
      <c r="G643">
        <v>54000</v>
      </c>
    </row>
    <row r="644" spans="1:7" x14ac:dyDescent="0.25">
      <c r="A644" s="5">
        <v>43518</v>
      </c>
      <c r="B644" s="4" t="s">
        <v>74</v>
      </c>
      <c r="C644" s="4" t="s">
        <v>73</v>
      </c>
      <c r="D644" s="4" t="s">
        <v>61</v>
      </c>
      <c r="E644">
        <v>32</v>
      </c>
      <c r="F644">
        <v>15815</v>
      </c>
      <c r="G644">
        <v>20000</v>
      </c>
    </row>
    <row r="645" spans="1:7" x14ac:dyDescent="0.25">
      <c r="A645" s="5">
        <v>43518</v>
      </c>
      <c r="B645" s="4" t="s">
        <v>74</v>
      </c>
      <c r="C645" s="4" t="s">
        <v>73</v>
      </c>
      <c r="D645" s="4" t="s">
        <v>57</v>
      </c>
      <c r="E645">
        <v>259</v>
      </c>
      <c r="F645">
        <v>129375</v>
      </c>
      <c r="G645">
        <v>100000</v>
      </c>
    </row>
    <row r="646" spans="1:7" x14ac:dyDescent="0.25">
      <c r="A646" s="5">
        <v>43518</v>
      </c>
      <c r="B646" s="4" t="s">
        <v>74</v>
      </c>
      <c r="C646" s="4" t="s">
        <v>73</v>
      </c>
      <c r="D646" s="4" t="s">
        <v>61</v>
      </c>
      <c r="E646">
        <v>207</v>
      </c>
      <c r="F646">
        <v>103325</v>
      </c>
      <c r="G646">
        <v>0</v>
      </c>
    </row>
    <row r="647" spans="1:7" x14ac:dyDescent="0.25">
      <c r="A647" s="5">
        <v>43518</v>
      </c>
      <c r="B647" s="4" t="s">
        <v>74</v>
      </c>
      <c r="C647" s="4" t="s">
        <v>73</v>
      </c>
      <c r="D647" s="4" t="s">
        <v>60</v>
      </c>
      <c r="E647">
        <v>1546</v>
      </c>
      <c r="F647">
        <v>773110</v>
      </c>
      <c r="G647">
        <v>85000</v>
      </c>
    </row>
    <row r="648" spans="1:7" x14ac:dyDescent="0.25">
      <c r="A648" s="5">
        <v>43518</v>
      </c>
      <c r="B648" s="4" t="s">
        <v>74</v>
      </c>
      <c r="C648" s="4" t="s">
        <v>73</v>
      </c>
      <c r="D648" s="4" t="s">
        <v>67</v>
      </c>
      <c r="E648">
        <v>223</v>
      </c>
      <c r="F648">
        <v>111370</v>
      </c>
      <c r="G648">
        <v>50000</v>
      </c>
    </row>
    <row r="649" spans="1:7" x14ac:dyDescent="0.25">
      <c r="A649" s="5">
        <v>43518</v>
      </c>
      <c r="B649" s="4" t="s">
        <v>74</v>
      </c>
      <c r="C649" s="4" t="s">
        <v>73</v>
      </c>
      <c r="D649" s="4" t="s">
        <v>65</v>
      </c>
      <c r="E649">
        <v>108</v>
      </c>
      <c r="F649">
        <v>54000</v>
      </c>
      <c r="G649">
        <v>0</v>
      </c>
    </row>
    <row r="650" spans="1:7" x14ac:dyDescent="0.25">
      <c r="A650" s="5">
        <v>43518</v>
      </c>
      <c r="B650" s="4" t="s">
        <v>74</v>
      </c>
      <c r="C650" s="4" t="s">
        <v>73</v>
      </c>
      <c r="D650" s="4" t="s">
        <v>56</v>
      </c>
      <c r="E650">
        <v>107</v>
      </c>
      <c r="F650">
        <v>53625</v>
      </c>
      <c r="G650">
        <v>10000</v>
      </c>
    </row>
    <row r="651" spans="1:7" x14ac:dyDescent="0.25">
      <c r="A651" s="5">
        <v>43518</v>
      </c>
      <c r="B651" s="4" t="s">
        <v>74</v>
      </c>
      <c r="C651" s="4" t="s">
        <v>73</v>
      </c>
      <c r="D651" s="4" t="s">
        <v>64</v>
      </c>
      <c r="E651">
        <v>193</v>
      </c>
      <c r="F651">
        <v>96445</v>
      </c>
      <c r="G651">
        <v>50000</v>
      </c>
    </row>
    <row r="652" spans="1:7" x14ac:dyDescent="0.25">
      <c r="A652" s="5">
        <v>43519</v>
      </c>
      <c r="B652" s="4" t="s">
        <v>74</v>
      </c>
      <c r="C652" s="4" t="s">
        <v>72</v>
      </c>
      <c r="D652" s="4" t="s">
        <v>61</v>
      </c>
      <c r="E652">
        <v>170</v>
      </c>
      <c r="F652">
        <v>85155</v>
      </c>
      <c r="G652">
        <v>90000</v>
      </c>
    </row>
    <row r="653" spans="1:7" x14ac:dyDescent="0.25">
      <c r="A653" s="5">
        <v>43519</v>
      </c>
      <c r="B653" s="4" t="s">
        <v>74</v>
      </c>
      <c r="C653" s="4" t="s">
        <v>72</v>
      </c>
      <c r="D653" s="4" t="s">
        <v>55</v>
      </c>
      <c r="E653">
        <v>65</v>
      </c>
      <c r="F653">
        <v>32640</v>
      </c>
      <c r="G653">
        <v>10000</v>
      </c>
    </row>
    <row r="654" spans="1:7" x14ac:dyDescent="0.25">
      <c r="A654" s="5">
        <v>43519</v>
      </c>
      <c r="B654" s="4" t="s">
        <v>74</v>
      </c>
      <c r="C654" s="4" t="s">
        <v>52</v>
      </c>
      <c r="D654" s="4" t="s">
        <v>64</v>
      </c>
      <c r="E654">
        <v>180</v>
      </c>
      <c r="F654">
        <v>90088</v>
      </c>
      <c r="G654">
        <v>0</v>
      </c>
    </row>
    <row r="655" spans="1:7" x14ac:dyDescent="0.25">
      <c r="A655" s="5">
        <v>43519</v>
      </c>
      <c r="B655" s="4" t="s">
        <v>74</v>
      </c>
      <c r="C655" s="4" t="s">
        <v>52</v>
      </c>
      <c r="D655" s="4" t="s">
        <v>55</v>
      </c>
      <c r="E655">
        <v>17</v>
      </c>
      <c r="F655">
        <v>8280</v>
      </c>
      <c r="G655">
        <v>0</v>
      </c>
    </row>
    <row r="656" spans="1:7" x14ac:dyDescent="0.25">
      <c r="A656" s="5">
        <v>43519</v>
      </c>
      <c r="B656" s="4" t="s">
        <v>74</v>
      </c>
      <c r="C656" s="4" t="s">
        <v>52</v>
      </c>
      <c r="D656" s="4" t="s">
        <v>53</v>
      </c>
      <c r="E656">
        <v>36</v>
      </c>
      <c r="F656">
        <v>18040</v>
      </c>
      <c r="G656">
        <v>0</v>
      </c>
    </row>
    <row r="657" spans="1:7" x14ac:dyDescent="0.25">
      <c r="A657" s="5">
        <v>43520</v>
      </c>
      <c r="B657" s="4" t="s">
        <v>74</v>
      </c>
      <c r="C657" s="4" t="s">
        <v>72</v>
      </c>
      <c r="D657" s="4" t="s">
        <v>56</v>
      </c>
      <c r="E657">
        <v>118</v>
      </c>
      <c r="F657">
        <v>59000</v>
      </c>
      <c r="G657">
        <v>0</v>
      </c>
    </row>
    <row r="658" spans="1:7" x14ac:dyDescent="0.25">
      <c r="A658" s="5">
        <v>43520</v>
      </c>
      <c r="B658" s="4" t="s">
        <v>74</v>
      </c>
      <c r="C658" s="4" t="s">
        <v>72</v>
      </c>
      <c r="D658" s="4" t="s">
        <v>60</v>
      </c>
      <c r="E658">
        <v>37</v>
      </c>
      <c r="F658">
        <v>18650</v>
      </c>
      <c r="G658">
        <v>18650</v>
      </c>
    </row>
    <row r="659" spans="1:7" x14ac:dyDescent="0.25">
      <c r="A659" s="5">
        <v>43520</v>
      </c>
      <c r="B659" s="4" t="s">
        <v>74</v>
      </c>
      <c r="C659" s="4" t="s">
        <v>72</v>
      </c>
      <c r="D659" s="4" t="s">
        <v>55</v>
      </c>
      <c r="E659">
        <v>52</v>
      </c>
      <c r="F659">
        <v>26170</v>
      </c>
      <c r="G659">
        <v>10000</v>
      </c>
    </row>
    <row r="660" spans="1:7" x14ac:dyDescent="0.25">
      <c r="A660" s="5">
        <v>43520</v>
      </c>
      <c r="B660" s="4" t="s">
        <v>74</v>
      </c>
      <c r="C660" s="4" t="s">
        <v>72</v>
      </c>
      <c r="D660" s="4" t="s">
        <v>64</v>
      </c>
      <c r="E660">
        <v>82</v>
      </c>
      <c r="F660">
        <v>41200</v>
      </c>
      <c r="G660">
        <v>20200</v>
      </c>
    </row>
    <row r="661" spans="1:7" x14ac:dyDescent="0.25">
      <c r="A661" s="5">
        <v>43520</v>
      </c>
      <c r="B661" s="4" t="s">
        <v>74</v>
      </c>
      <c r="C661" s="4" t="s">
        <v>52</v>
      </c>
      <c r="D661" s="4" t="s">
        <v>54</v>
      </c>
      <c r="E661">
        <v>208</v>
      </c>
      <c r="F661">
        <v>104175</v>
      </c>
      <c r="G661">
        <v>22335</v>
      </c>
    </row>
    <row r="662" spans="1:7" x14ac:dyDescent="0.25">
      <c r="A662" s="5">
        <v>43520</v>
      </c>
      <c r="B662" s="4" t="s">
        <v>74</v>
      </c>
      <c r="C662" s="4" t="s">
        <v>52</v>
      </c>
      <c r="D662" s="4" t="s">
        <v>59</v>
      </c>
      <c r="E662">
        <v>210</v>
      </c>
      <c r="F662">
        <v>105050</v>
      </c>
      <c r="G662">
        <v>0</v>
      </c>
    </row>
    <row r="663" spans="1:7" x14ac:dyDescent="0.25">
      <c r="A663" s="5">
        <v>43521</v>
      </c>
      <c r="B663" s="4" t="s">
        <v>74</v>
      </c>
      <c r="C663" s="4" t="s">
        <v>72</v>
      </c>
      <c r="D663" s="4" t="s">
        <v>62</v>
      </c>
      <c r="E663">
        <v>274</v>
      </c>
      <c r="F663">
        <v>137250</v>
      </c>
      <c r="G663">
        <v>20000</v>
      </c>
    </row>
    <row r="664" spans="1:7" x14ac:dyDescent="0.25">
      <c r="A664" s="5">
        <v>43521</v>
      </c>
      <c r="B664" s="4" t="s">
        <v>74</v>
      </c>
      <c r="C664" s="4" t="s">
        <v>72</v>
      </c>
      <c r="D664" s="4" t="s">
        <v>56</v>
      </c>
      <c r="E664">
        <v>26</v>
      </c>
      <c r="F664">
        <v>13140</v>
      </c>
      <c r="G664">
        <v>13140</v>
      </c>
    </row>
    <row r="665" spans="1:7" x14ac:dyDescent="0.25">
      <c r="A665" s="5">
        <v>43521</v>
      </c>
      <c r="B665" s="4" t="s">
        <v>74</v>
      </c>
      <c r="C665" s="4" t="s">
        <v>72</v>
      </c>
      <c r="D665" s="4" t="s">
        <v>56</v>
      </c>
      <c r="E665">
        <v>68</v>
      </c>
      <c r="F665">
        <v>33900</v>
      </c>
      <c r="G665">
        <v>33900</v>
      </c>
    </row>
    <row r="666" spans="1:7" x14ac:dyDescent="0.25">
      <c r="A666" s="5">
        <v>43521</v>
      </c>
      <c r="B666" s="4" t="s">
        <v>74</v>
      </c>
      <c r="C666" s="4" t="s">
        <v>52</v>
      </c>
      <c r="D666" s="4" t="s">
        <v>57</v>
      </c>
      <c r="E666">
        <v>521</v>
      </c>
      <c r="F666">
        <v>260571</v>
      </c>
      <c r="G666">
        <v>0</v>
      </c>
    </row>
    <row r="667" spans="1:7" x14ac:dyDescent="0.25">
      <c r="A667" s="5">
        <v>43521</v>
      </c>
      <c r="B667" s="4" t="s">
        <v>74</v>
      </c>
      <c r="C667" s="4" t="s">
        <v>52</v>
      </c>
      <c r="D667" s="4" t="s">
        <v>58</v>
      </c>
      <c r="E667">
        <v>40</v>
      </c>
      <c r="F667">
        <v>20020</v>
      </c>
      <c r="G667">
        <v>20000</v>
      </c>
    </row>
    <row r="668" spans="1:7" x14ac:dyDescent="0.25">
      <c r="A668" s="5">
        <v>43521</v>
      </c>
      <c r="B668" s="4" t="s">
        <v>74</v>
      </c>
      <c r="C668" s="4" t="s">
        <v>52</v>
      </c>
      <c r="D668" s="4" t="s">
        <v>58</v>
      </c>
      <c r="E668">
        <v>41</v>
      </c>
      <c r="F668">
        <v>20320</v>
      </c>
      <c r="G668">
        <v>0</v>
      </c>
    </row>
    <row r="669" spans="1:7" x14ac:dyDescent="0.25">
      <c r="A669" s="5">
        <v>43521</v>
      </c>
      <c r="B669" s="4" t="s">
        <v>74</v>
      </c>
      <c r="C669" s="4" t="s">
        <v>52</v>
      </c>
      <c r="D669" s="4" t="s">
        <v>64</v>
      </c>
      <c r="E669">
        <v>154</v>
      </c>
      <c r="F669">
        <v>77174</v>
      </c>
      <c r="G669">
        <v>0</v>
      </c>
    </row>
    <row r="670" spans="1:7" x14ac:dyDescent="0.25">
      <c r="A670" s="5">
        <v>43521</v>
      </c>
      <c r="B670" s="4" t="s">
        <v>74</v>
      </c>
      <c r="C670" s="4" t="s">
        <v>52</v>
      </c>
      <c r="D670" s="4" t="s">
        <v>57</v>
      </c>
      <c r="E670">
        <v>167</v>
      </c>
      <c r="F670">
        <v>83500</v>
      </c>
      <c r="G670">
        <v>0</v>
      </c>
    </row>
    <row r="671" spans="1:7" x14ac:dyDescent="0.25">
      <c r="A671" s="5">
        <v>43523</v>
      </c>
      <c r="B671" s="4" t="s">
        <v>74</v>
      </c>
      <c r="C671" s="4" t="s">
        <v>72</v>
      </c>
      <c r="D671" s="4" t="s">
        <v>55</v>
      </c>
      <c r="E671">
        <v>153</v>
      </c>
      <c r="F671">
        <v>76525</v>
      </c>
      <c r="G671">
        <v>37000</v>
      </c>
    </row>
    <row r="672" spans="1:7" x14ac:dyDescent="0.25">
      <c r="A672" s="5">
        <v>43523</v>
      </c>
      <c r="B672" s="4" t="s">
        <v>74</v>
      </c>
      <c r="C672" s="4" t="s">
        <v>72</v>
      </c>
      <c r="D672" s="4" t="s">
        <v>61</v>
      </c>
      <c r="E672">
        <v>162</v>
      </c>
      <c r="F672">
        <v>81120</v>
      </c>
      <c r="G672">
        <v>12600</v>
      </c>
    </row>
    <row r="673" spans="1:7" x14ac:dyDescent="0.25">
      <c r="A673" s="5">
        <v>43523</v>
      </c>
      <c r="B673" s="4" t="s">
        <v>74</v>
      </c>
      <c r="C673" s="4" t="s">
        <v>52</v>
      </c>
      <c r="D673" s="4" t="s">
        <v>61</v>
      </c>
      <c r="E673">
        <v>136</v>
      </c>
      <c r="F673">
        <v>67840</v>
      </c>
      <c r="G673">
        <v>0</v>
      </c>
    </row>
    <row r="674" spans="1:7" x14ac:dyDescent="0.25">
      <c r="A674" s="5">
        <v>43523</v>
      </c>
      <c r="B674" s="4" t="s">
        <v>74</v>
      </c>
      <c r="C674" s="4" t="s">
        <v>52</v>
      </c>
      <c r="D674" s="4" t="s">
        <v>58</v>
      </c>
      <c r="E674">
        <v>63</v>
      </c>
      <c r="F674">
        <v>31480</v>
      </c>
      <c r="G674">
        <v>11480</v>
      </c>
    </row>
    <row r="675" spans="1:7" x14ac:dyDescent="0.25">
      <c r="A675" s="5">
        <v>43523</v>
      </c>
      <c r="B675" s="4" t="s">
        <v>74</v>
      </c>
      <c r="C675" s="4" t="s">
        <v>52</v>
      </c>
      <c r="D675" s="4" t="s">
        <v>53</v>
      </c>
      <c r="E675">
        <v>53</v>
      </c>
      <c r="F675">
        <v>26560</v>
      </c>
      <c r="G675">
        <v>560</v>
      </c>
    </row>
    <row r="676" spans="1:7" x14ac:dyDescent="0.25">
      <c r="A676" s="5">
        <v>43524</v>
      </c>
      <c r="B676" s="4" t="s">
        <v>74</v>
      </c>
      <c r="C676" s="4" t="s">
        <v>72</v>
      </c>
      <c r="D676" s="4" t="s">
        <v>55</v>
      </c>
      <c r="E676">
        <v>11</v>
      </c>
      <c r="F676">
        <v>5650</v>
      </c>
      <c r="G676">
        <v>5000</v>
      </c>
    </row>
    <row r="677" spans="1:7" x14ac:dyDescent="0.25">
      <c r="A677" s="5">
        <v>43524</v>
      </c>
      <c r="B677" s="4" t="s">
        <v>74</v>
      </c>
      <c r="C677" s="4" t="s">
        <v>72</v>
      </c>
      <c r="D677" s="4" t="s">
        <v>67</v>
      </c>
      <c r="E677">
        <v>118</v>
      </c>
      <c r="F677">
        <v>58870</v>
      </c>
      <c r="G677">
        <v>870</v>
      </c>
    </row>
    <row r="678" spans="1:7" x14ac:dyDescent="0.25">
      <c r="A678" s="5">
        <v>43524</v>
      </c>
      <c r="B678" s="4" t="s">
        <v>74</v>
      </c>
      <c r="C678" s="4" t="s">
        <v>72</v>
      </c>
      <c r="D678" s="4" t="s">
        <v>60</v>
      </c>
      <c r="E678">
        <v>31</v>
      </c>
      <c r="F678">
        <v>15405</v>
      </c>
      <c r="G678">
        <v>0</v>
      </c>
    </row>
    <row r="679" spans="1:7" x14ac:dyDescent="0.25">
      <c r="A679" s="5">
        <v>43524</v>
      </c>
      <c r="B679" s="4" t="s">
        <v>74</v>
      </c>
      <c r="C679" s="4" t="s">
        <v>52</v>
      </c>
      <c r="D679" s="4" t="s">
        <v>61</v>
      </c>
      <c r="E679">
        <v>179</v>
      </c>
      <c r="F679">
        <v>89330</v>
      </c>
      <c r="G679">
        <v>0</v>
      </c>
    </row>
    <row r="680" spans="1:7" x14ac:dyDescent="0.25">
      <c r="A680" s="5">
        <v>43524</v>
      </c>
      <c r="B680" s="4" t="s">
        <v>74</v>
      </c>
      <c r="C680" s="4" t="s">
        <v>52</v>
      </c>
      <c r="D680" s="4" t="s">
        <v>63</v>
      </c>
      <c r="E680">
        <v>233</v>
      </c>
      <c r="F680">
        <v>116375</v>
      </c>
      <c r="G680">
        <v>0</v>
      </c>
    </row>
    <row r="681" spans="1:7" x14ac:dyDescent="0.25">
      <c r="A681" s="5">
        <v>43524</v>
      </c>
      <c r="B681" s="4" t="s">
        <v>74</v>
      </c>
      <c r="C681" s="4" t="s">
        <v>52</v>
      </c>
      <c r="D681" s="4" t="s">
        <v>53</v>
      </c>
      <c r="E681">
        <v>507</v>
      </c>
      <c r="F681">
        <v>253264</v>
      </c>
      <c r="G681">
        <v>0</v>
      </c>
    </row>
    <row r="682" spans="1:7" x14ac:dyDescent="0.25">
      <c r="A682" s="5">
        <v>43524</v>
      </c>
      <c r="B682" s="4" t="s">
        <v>74</v>
      </c>
      <c r="C682" s="4" t="s">
        <v>52</v>
      </c>
      <c r="D682" s="4" t="s">
        <v>61</v>
      </c>
      <c r="E682">
        <v>520</v>
      </c>
      <c r="F682">
        <v>260030</v>
      </c>
      <c r="G682">
        <v>0</v>
      </c>
    </row>
    <row r="683" spans="1:7" x14ac:dyDescent="0.25">
      <c r="A683" s="5">
        <v>43524</v>
      </c>
      <c r="B683" s="4" t="s">
        <v>74</v>
      </c>
      <c r="C683" s="4" t="s">
        <v>52</v>
      </c>
      <c r="D683" s="4" t="s">
        <v>53</v>
      </c>
      <c r="E683">
        <v>341</v>
      </c>
      <c r="F683">
        <v>170260</v>
      </c>
      <c r="G683">
        <v>50000</v>
      </c>
    </row>
    <row r="684" spans="1:7" x14ac:dyDescent="0.25">
      <c r="A684" s="5">
        <v>43524</v>
      </c>
      <c r="B684" s="4" t="s">
        <v>74</v>
      </c>
      <c r="C684" s="4" t="s">
        <v>52</v>
      </c>
      <c r="D684" s="4" t="s">
        <v>57</v>
      </c>
      <c r="E684">
        <v>36</v>
      </c>
      <c r="F684">
        <v>18000</v>
      </c>
      <c r="G684">
        <v>2000</v>
      </c>
    </row>
    <row r="685" spans="1:7" x14ac:dyDescent="0.25">
      <c r="A685" s="5">
        <v>43471</v>
      </c>
      <c r="B685" s="4" t="s">
        <v>75</v>
      </c>
      <c r="C685" s="4" t="s">
        <v>52</v>
      </c>
      <c r="D685" s="4" t="s">
        <v>57</v>
      </c>
      <c r="E685">
        <v>908</v>
      </c>
      <c r="F685">
        <v>454097</v>
      </c>
      <c r="G685">
        <v>0</v>
      </c>
    </row>
    <row r="686" spans="1:7" x14ac:dyDescent="0.25">
      <c r="A686" s="5">
        <v>43475</v>
      </c>
      <c r="B686" s="4" t="s">
        <v>75</v>
      </c>
      <c r="C686" s="4" t="s">
        <v>52</v>
      </c>
      <c r="D686" s="4" t="s">
        <v>57</v>
      </c>
      <c r="E686">
        <v>4366</v>
      </c>
      <c r="F686">
        <v>2183027</v>
      </c>
      <c r="G686">
        <v>0</v>
      </c>
    </row>
    <row r="687" spans="1:7" x14ac:dyDescent="0.25">
      <c r="A687" s="5">
        <v>43476</v>
      </c>
      <c r="B687" s="4" t="s">
        <v>75</v>
      </c>
      <c r="C687" s="4" t="s">
        <v>52</v>
      </c>
      <c r="D687" s="4" t="s">
        <v>57</v>
      </c>
      <c r="E687">
        <v>153</v>
      </c>
      <c r="F687">
        <v>76410</v>
      </c>
      <c r="G687">
        <v>0</v>
      </c>
    </row>
    <row r="688" spans="1:7" x14ac:dyDescent="0.25">
      <c r="A688" s="5">
        <v>43488</v>
      </c>
      <c r="B688" s="4" t="s">
        <v>75</v>
      </c>
      <c r="C688" s="4" t="s">
        <v>52</v>
      </c>
      <c r="D688" s="4" t="s">
        <v>57</v>
      </c>
      <c r="E688">
        <v>431</v>
      </c>
      <c r="F688">
        <v>215400</v>
      </c>
      <c r="G688">
        <v>0</v>
      </c>
    </row>
    <row r="689" spans="1:7" x14ac:dyDescent="0.25">
      <c r="A689" s="5">
        <v>43469</v>
      </c>
      <c r="B689" s="4" t="s">
        <v>75</v>
      </c>
      <c r="C689" s="4" t="s">
        <v>52</v>
      </c>
      <c r="D689" s="4" t="s">
        <v>64</v>
      </c>
      <c r="E689">
        <v>220</v>
      </c>
      <c r="F689">
        <v>110184</v>
      </c>
      <c r="G689">
        <v>0</v>
      </c>
    </row>
    <row r="690" spans="1:7" x14ac:dyDescent="0.25">
      <c r="A690" s="5">
        <v>43474</v>
      </c>
      <c r="B690" s="4" t="s">
        <v>75</v>
      </c>
      <c r="C690" s="4" t="s">
        <v>52</v>
      </c>
      <c r="D690" s="4" t="s">
        <v>64</v>
      </c>
      <c r="E690">
        <v>557</v>
      </c>
      <c r="F690">
        <v>278545</v>
      </c>
      <c r="G690">
        <v>0</v>
      </c>
    </row>
    <row r="691" spans="1:7" x14ac:dyDescent="0.25">
      <c r="A691" s="5">
        <v>43476</v>
      </c>
      <c r="B691" s="4" t="s">
        <v>75</v>
      </c>
      <c r="C691" s="4" t="s">
        <v>52</v>
      </c>
      <c r="D691" s="4" t="s">
        <v>64</v>
      </c>
      <c r="E691">
        <v>206</v>
      </c>
      <c r="F691">
        <v>103215</v>
      </c>
      <c r="G691">
        <v>0</v>
      </c>
    </row>
    <row r="692" spans="1:7" x14ac:dyDescent="0.25">
      <c r="A692" s="5">
        <v>43470</v>
      </c>
      <c r="B692" s="4" t="s">
        <v>75</v>
      </c>
      <c r="C692" s="4" t="s">
        <v>52</v>
      </c>
      <c r="D692" s="4" t="s">
        <v>66</v>
      </c>
      <c r="E692">
        <v>467</v>
      </c>
      <c r="F692">
        <v>233671</v>
      </c>
      <c r="G692">
        <v>0</v>
      </c>
    </row>
    <row r="693" spans="1:7" x14ac:dyDescent="0.25">
      <c r="A693" s="5">
        <v>43476</v>
      </c>
      <c r="B693" s="4" t="s">
        <v>75</v>
      </c>
      <c r="C693" s="4" t="s">
        <v>52</v>
      </c>
      <c r="D693" s="4" t="s">
        <v>66</v>
      </c>
      <c r="E693">
        <v>78</v>
      </c>
      <c r="F693">
        <v>39000</v>
      </c>
      <c r="G693">
        <v>20000</v>
      </c>
    </row>
    <row r="694" spans="1:7" x14ac:dyDescent="0.25">
      <c r="A694" s="5">
        <v>43478</v>
      </c>
      <c r="B694" s="4" t="s">
        <v>75</v>
      </c>
      <c r="C694" s="4" t="s">
        <v>52</v>
      </c>
      <c r="D694" s="4" t="s">
        <v>66</v>
      </c>
      <c r="E694">
        <v>291</v>
      </c>
      <c r="F694">
        <v>145672</v>
      </c>
      <c r="G694">
        <v>0</v>
      </c>
    </row>
    <row r="695" spans="1:7" x14ac:dyDescent="0.25">
      <c r="A695" s="5">
        <v>43471</v>
      </c>
      <c r="B695" s="4" t="s">
        <v>75</v>
      </c>
      <c r="C695" s="4" t="s">
        <v>52</v>
      </c>
      <c r="D695" s="4" t="s">
        <v>61</v>
      </c>
      <c r="E695">
        <v>163</v>
      </c>
      <c r="F695">
        <v>81530</v>
      </c>
      <c r="G695">
        <v>0</v>
      </c>
    </row>
    <row r="696" spans="1:7" x14ac:dyDescent="0.25">
      <c r="A696" s="5">
        <v>43478</v>
      </c>
      <c r="B696" s="4" t="s">
        <v>75</v>
      </c>
      <c r="C696" s="4" t="s">
        <v>52</v>
      </c>
      <c r="D696" s="4" t="s">
        <v>61</v>
      </c>
      <c r="E696">
        <v>160</v>
      </c>
      <c r="F696">
        <v>79764</v>
      </c>
      <c r="G696">
        <v>0</v>
      </c>
    </row>
    <row r="697" spans="1:7" x14ac:dyDescent="0.25">
      <c r="A697" s="5">
        <v>43483</v>
      </c>
      <c r="B697" s="4" t="s">
        <v>75</v>
      </c>
      <c r="C697" s="4" t="s">
        <v>52</v>
      </c>
      <c r="D697" s="4" t="s">
        <v>61</v>
      </c>
      <c r="E697">
        <v>23</v>
      </c>
      <c r="F697">
        <v>11685</v>
      </c>
      <c r="G697">
        <v>185</v>
      </c>
    </row>
    <row r="698" spans="1:7" x14ac:dyDescent="0.25">
      <c r="A698" s="5">
        <v>43484</v>
      </c>
      <c r="B698" s="4" t="s">
        <v>75</v>
      </c>
      <c r="C698" s="4" t="s">
        <v>52</v>
      </c>
      <c r="D698" s="4" t="s">
        <v>61</v>
      </c>
      <c r="E698">
        <v>659</v>
      </c>
      <c r="F698">
        <v>329515</v>
      </c>
      <c r="G698">
        <v>10000</v>
      </c>
    </row>
    <row r="699" spans="1:7" x14ac:dyDescent="0.25">
      <c r="A699" s="5">
        <v>43468</v>
      </c>
      <c r="B699" s="4" t="s">
        <v>75</v>
      </c>
      <c r="C699" s="4" t="s">
        <v>52</v>
      </c>
      <c r="D699" s="4" t="s">
        <v>53</v>
      </c>
      <c r="E699">
        <v>1077</v>
      </c>
      <c r="F699">
        <v>538689</v>
      </c>
      <c r="G699">
        <v>0</v>
      </c>
    </row>
    <row r="700" spans="1:7" x14ac:dyDescent="0.25">
      <c r="A700" s="5">
        <v>43469</v>
      </c>
      <c r="B700" s="4" t="s">
        <v>75</v>
      </c>
      <c r="C700" s="4" t="s">
        <v>52</v>
      </c>
      <c r="D700" s="4" t="s">
        <v>53</v>
      </c>
      <c r="E700">
        <v>1432</v>
      </c>
      <c r="F700">
        <v>715804</v>
      </c>
      <c r="G700">
        <v>0</v>
      </c>
    </row>
    <row r="701" spans="1:7" x14ac:dyDescent="0.25">
      <c r="A701" s="5">
        <v>43470</v>
      </c>
      <c r="B701" s="4" t="s">
        <v>75</v>
      </c>
      <c r="C701" s="4" t="s">
        <v>52</v>
      </c>
      <c r="D701" s="4" t="s">
        <v>53</v>
      </c>
      <c r="E701">
        <v>239</v>
      </c>
      <c r="F701">
        <v>119665</v>
      </c>
      <c r="G701">
        <v>0</v>
      </c>
    </row>
    <row r="702" spans="1:7" x14ac:dyDescent="0.25">
      <c r="A702" s="5">
        <v>43471</v>
      </c>
      <c r="B702" s="4" t="s">
        <v>75</v>
      </c>
      <c r="C702" s="4" t="s">
        <v>52</v>
      </c>
      <c r="D702" s="4" t="s">
        <v>53</v>
      </c>
      <c r="E702">
        <v>570</v>
      </c>
      <c r="F702">
        <v>285145</v>
      </c>
      <c r="G702">
        <v>0</v>
      </c>
    </row>
    <row r="703" spans="1:7" x14ac:dyDescent="0.25">
      <c r="A703" s="5">
        <v>43472</v>
      </c>
      <c r="B703" s="4" t="s">
        <v>75</v>
      </c>
      <c r="C703" s="4" t="s">
        <v>52</v>
      </c>
      <c r="D703" s="4" t="s">
        <v>53</v>
      </c>
      <c r="E703">
        <v>535</v>
      </c>
      <c r="F703">
        <v>267550</v>
      </c>
      <c r="G703">
        <v>0</v>
      </c>
    </row>
    <row r="704" spans="1:7" x14ac:dyDescent="0.25">
      <c r="A704" s="5">
        <v>43475</v>
      </c>
      <c r="B704" s="4" t="s">
        <v>75</v>
      </c>
      <c r="C704" s="4" t="s">
        <v>52</v>
      </c>
      <c r="D704" s="4" t="s">
        <v>53</v>
      </c>
      <c r="E704">
        <v>360</v>
      </c>
      <c r="F704">
        <v>180045</v>
      </c>
      <c r="G704">
        <v>50000</v>
      </c>
    </row>
    <row r="705" spans="1:7" x14ac:dyDescent="0.25">
      <c r="A705" s="5">
        <v>43478</v>
      </c>
      <c r="B705" s="4" t="s">
        <v>75</v>
      </c>
      <c r="C705" s="4" t="s">
        <v>52</v>
      </c>
      <c r="D705" s="4" t="s">
        <v>53</v>
      </c>
      <c r="E705">
        <v>233</v>
      </c>
      <c r="F705">
        <v>116599</v>
      </c>
      <c r="G705">
        <v>32000</v>
      </c>
    </row>
    <row r="706" spans="1:7" x14ac:dyDescent="0.25">
      <c r="A706" s="5">
        <v>43479</v>
      </c>
      <c r="B706" s="4" t="s">
        <v>75</v>
      </c>
      <c r="C706" s="4" t="s">
        <v>52</v>
      </c>
      <c r="D706" s="4" t="s">
        <v>53</v>
      </c>
      <c r="E706">
        <v>82</v>
      </c>
      <c r="F706">
        <v>41078</v>
      </c>
      <c r="G706">
        <v>5150</v>
      </c>
    </row>
    <row r="707" spans="1:7" x14ac:dyDescent="0.25">
      <c r="A707" s="5">
        <v>43482</v>
      </c>
      <c r="B707" s="4" t="s">
        <v>75</v>
      </c>
      <c r="C707" s="4" t="s">
        <v>52</v>
      </c>
      <c r="D707" s="4" t="s">
        <v>53</v>
      </c>
      <c r="E707">
        <v>250</v>
      </c>
      <c r="F707">
        <v>125115</v>
      </c>
      <c r="G707">
        <v>0</v>
      </c>
    </row>
    <row r="708" spans="1:7" x14ac:dyDescent="0.25">
      <c r="A708" s="5">
        <v>43483</v>
      </c>
      <c r="B708" s="4" t="s">
        <v>75</v>
      </c>
      <c r="C708" s="4" t="s">
        <v>52</v>
      </c>
      <c r="D708" s="4" t="s">
        <v>53</v>
      </c>
      <c r="E708">
        <v>231</v>
      </c>
      <c r="F708">
        <v>115373</v>
      </c>
      <c r="G708">
        <v>0</v>
      </c>
    </row>
    <row r="709" spans="1:7" x14ac:dyDescent="0.25">
      <c r="A709" s="5">
        <v>43484</v>
      </c>
      <c r="B709" s="4" t="s">
        <v>75</v>
      </c>
      <c r="C709" s="4" t="s">
        <v>52</v>
      </c>
      <c r="D709" s="4" t="s">
        <v>53</v>
      </c>
      <c r="E709">
        <v>37</v>
      </c>
      <c r="F709">
        <v>18630</v>
      </c>
      <c r="G709">
        <v>0</v>
      </c>
    </row>
    <row r="710" spans="1:7" x14ac:dyDescent="0.25">
      <c r="A710" s="5">
        <v>43486</v>
      </c>
      <c r="B710" s="4" t="s">
        <v>75</v>
      </c>
      <c r="C710" s="4" t="s">
        <v>52</v>
      </c>
      <c r="D710" s="4" t="s">
        <v>53</v>
      </c>
      <c r="E710">
        <v>36</v>
      </c>
      <c r="F710">
        <v>18135</v>
      </c>
      <c r="G710">
        <v>0</v>
      </c>
    </row>
    <row r="711" spans="1:7" x14ac:dyDescent="0.25">
      <c r="A711" s="5">
        <v>43488</v>
      </c>
      <c r="B711" s="4" t="s">
        <v>75</v>
      </c>
      <c r="C711" s="4" t="s">
        <v>52</v>
      </c>
      <c r="D711" s="4" t="s">
        <v>53</v>
      </c>
      <c r="E711">
        <v>146</v>
      </c>
      <c r="F711">
        <v>72885</v>
      </c>
      <c r="G711">
        <v>9765</v>
      </c>
    </row>
    <row r="712" spans="1:7" x14ac:dyDescent="0.25">
      <c r="A712" s="5">
        <v>43489</v>
      </c>
      <c r="B712" s="4" t="s">
        <v>75</v>
      </c>
      <c r="C712" s="4" t="s">
        <v>52</v>
      </c>
      <c r="D712" s="4" t="s">
        <v>53</v>
      </c>
      <c r="E712">
        <v>101</v>
      </c>
      <c r="F712">
        <v>50324</v>
      </c>
      <c r="G712">
        <v>0</v>
      </c>
    </row>
    <row r="713" spans="1:7" x14ac:dyDescent="0.25">
      <c r="A713" s="5">
        <v>43490</v>
      </c>
      <c r="B713" s="4" t="s">
        <v>75</v>
      </c>
      <c r="C713" s="4" t="s">
        <v>52</v>
      </c>
      <c r="D713" s="4" t="s">
        <v>53</v>
      </c>
      <c r="E713">
        <v>145</v>
      </c>
      <c r="F713">
        <v>72305</v>
      </c>
      <c r="G713">
        <v>55000</v>
      </c>
    </row>
    <row r="714" spans="1:7" x14ac:dyDescent="0.25">
      <c r="A714" s="5">
        <v>43496</v>
      </c>
      <c r="B714" s="4" t="s">
        <v>75</v>
      </c>
      <c r="C714" s="4" t="s">
        <v>52</v>
      </c>
      <c r="D714" s="4" t="s">
        <v>53</v>
      </c>
      <c r="E714">
        <v>324</v>
      </c>
      <c r="F714">
        <v>162155</v>
      </c>
      <c r="G714">
        <v>790</v>
      </c>
    </row>
    <row r="715" spans="1:7" x14ac:dyDescent="0.25">
      <c r="A715" s="5">
        <v>43478</v>
      </c>
      <c r="B715" s="4" t="s">
        <v>75</v>
      </c>
      <c r="C715" s="4" t="s">
        <v>52</v>
      </c>
      <c r="D715" s="4" t="s">
        <v>67</v>
      </c>
      <c r="E715">
        <v>125</v>
      </c>
      <c r="F715">
        <v>62600</v>
      </c>
      <c r="G715">
        <v>32600</v>
      </c>
    </row>
    <row r="716" spans="1:7" x14ac:dyDescent="0.25">
      <c r="A716" s="5">
        <v>43468</v>
      </c>
      <c r="B716" s="4" t="s">
        <v>75</v>
      </c>
      <c r="C716" s="4" t="s">
        <v>52</v>
      </c>
      <c r="D716" s="4" t="s">
        <v>55</v>
      </c>
      <c r="E716">
        <v>352</v>
      </c>
      <c r="F716">
        <v>176065</v>
      </c>
      <c r="G716">
        <v>20000</v>
      </c>
    </row>
    <row r="717" spans="1:7" x14ac:dyDescent="0.25">
      <c r="A717" s="5">
        <v>43470</v>
      </c>
      <c r="B717" s="4" t="s">
        <v>75</v>
      </c>
      <c r="C717" s="4" t="s">
        <v>52</v>
      </c>
      <c r="D717" s="4" t="s">
        <v>55</v>
      </c>
      <c r="E717">
        <v>430</v>
      </c>
      <c r="F717">
        <v>214817</v>
      </c>
      <c r="G717">
        <v>0</v>
      </c>
    </row>
    <row r="718" spans="1:7" x14ac:dyDescent="0.25">
      <c r="A718" s="5">
        <v>43471</v>
      </c>
      <c r="B718" s="4" t="s">
        <v>75</v>
      </c>
      <c r="C718" s="4" t="s">
        <v>52</v>
      </c>
      <c r="D718" s="4" t="s">
        <v>55</v>
      </c>
      <c r="E718">
        <v>206</v>
      </c>
      <c r="F718">
        <v>102930</v>
      </c>
      <c r="G718">
        <v>28900</v>
      </c>
    </row>
    <row r="719" spans="1:7" x14ac:dyDescent="0.25">
      <c r="A719" s="5">
        <v>43472</v>
      </c>
      <c r="B719" s="4" t="s">
        <v>75</v>
      </c>
      <c r="C719" s="4" t="s">
        <v>52</v>
      </c>
      <c r="D719" s="4" t="s">
        <v>55</v>
      </c>
      <c r="E719">
        <v>104</v>
      </c>
      <c r="F719">
        <v>52235</v>
      </c>
      <c r="G719">
        <v>0</v>
      </c>
    </row>
    <row r="720" spans="1:7" x14ac:dyDescent="0.25">
      <c r="A720" s="5">
        <v>43474</v>
      </c>
      <c r="B720" s="4" t="s">
        <v>75</v>
      </c>
      <c r="C720" s="4" t="s">
        <v>52</v>
      </c>
      <c r="D720" s="4" t="s">
        <v>55</v>
      </c>
      <c r="E720">
        <v>76</v>
      </c>
      <c r="F720">
        <v>38230</v>
      </c>
      <c r="G720">
        <v>0</v>
      </c>
    </row>
    <row r="721" spans="1:7" x14ac:dyDescent="0.25">
      <c r="A721" s="5">
        <v>43475</v>
      </c>
      <c r="B721" s="4" t="s">
        <v>75</v>
      </c>
      <c r="C721" s="4" t="s">
        <v>52</v>
      </c>
      <c r="D721" s="4" t="s">
        <v>55</v>
      </c>
      <c r="E721">
        <v>128</v>
      </c>
      <c r="F721">
        <v>64100</v>
      </c>
      <c r="G721">
        <v>0</v>
      </c>
    </row>
    <row r="722" spans="1:7" x14ac:dyDescent="0.25">
      <c r="A722" s="5">
        <v>43477</v>
      </c>
      <c r="B722" s="4" t="s">
        <v>75</v>
      </c>
      <c r="C722" s="4" t="s">
        <v>52</v>
      </c>
      <c r="D722" s="4" t="s">
        <v>55</v>
      </c>
      <c r="E722">
        <v>410</v>
      </c>
      <c r="F722">
        <v>205125</v>
      </c>
      <c r="G722">
        <v>15000</v>
      </c>
    </row>
    <row r="723" spans="1:7" x14ac:dyDescent="0.25">
      <c r="A723" s="5">
        <v>43478</v>
      </c>
      <c r="B723" s="4" t="s">
        <v>75</v>
      </c>
      <c r="C723" s="4" t="s">
        <v>52</v>
      </c>
      <c r="D723" s="4" t="s">
        <v>55</v>
      </c>
      <c r="E723">
        <v>954</v>
      </c>
      <c r="F723">
        <v>476798</v>
      </c>
      <c r="G723">
        <v>0</v>
      </c>
    </row>
    <row r="724" spans="1:7" x14ac:dyDescent="0.25">
      <c r="A724" s="5">
        <v>43479</v>
      </c>
      <c r="B724" s="4" t="s">
        <v>75</v>
      </c>
      <c r="C724" s="4" t="s">
        <v>52</v>
      </c>
      <c r="D724" s="4" t="s">
        <v>55</v>
      </c>
      <c r="E724">
        <v>57</v>
      </c>
      <c r="F724">
        <v>28494</v>
      </c>
      <c r="G724">
        <v>0</v>
      </c>
    </row>
    <row r="725" spans="1:7" x14ac:dyDescent="0.25">
      <c r="A725" s="5">
        <v>43483</v>
      </c>
      <c r="B725" s="4" t="s">
        <v>75</v>
      </c>
      <c r="C725" s="4" t="s">
        <v>52</v>
      </c>
      <c r="D725" s="4" t="s">
        <v>55</v>
      </c>
      <c r="E725">
        <v>13</v>
      </c>
      <c r="F725">
        <v>6420</v>
      </c>
      <c r="G725">
        <v>0</v>
      </c>
    </row>
    <row r="726" spans="1:7" x14ac:dyDescent="0.25">
      <c r="A726" s="5">
        <v>43485</v>
      </c>
      <c r="B726" s="4" t="s">
        <v>75</v>
      </c>
      <c r="C726" s="4" t="s">
        <v>52</v>
      </c>
      <c r="D726" s="4" t="s">
        <v>55</v>
      </c>
      <c r="E726">
        <v>110</v>
      </c>
      <c r="F726">
        <v>54975</v>
      </c>
      <c r="G726">
        <v>0</v>
      </c>
    </row>
    <row r="727" spans="1:7" x14ac:dyDescent="0.25">
      <c r="A727" s="5">
        <v>43486</v>
      </c>
      <c r="B727" s="4" t="s">
        <v>75</v>
      </c>
      <c r="C727" s="4" t="s">
        <v>52</v>
      </c>
      <c r="D727" s="4" t="s">
        <v>55</v>
      </c>
      <c r="E727">
        <v>28</v>
      </c>
      <c r="F727">
        <v>13860</v>
      </c>
      <c r="G727">
        <v>0</v>
      </c>
    </row>
    <row r="728" spans="1:7" x14ac:dyDescent="0.25">
      <c r="A728" s="5">
        <v>43491</v>
      </c>
      <c r="B728" s="4" t="s">
        <v>75</v>
      </c>
      <c r="C728" s="4" t="s">
        <v>52</v>
      </c>
      <c r="D728" s="4" t="s">
        <v>55</v>
      </c>
      <c r="E728">
        <v>287</v>
      </c>
      <c r="F728">
        <v>143665</v>
      </c>
      <c r="G728">
        <v>50000</v>
      </c>
    </row>
    <row r="729" spans="1:7" x14ac:dyDescent="0.25">
      <c r="A729" s="5">
        <v>43492</v>
      </c>
      <c r="B729" s="4" t="s">
        <v>75</v>
      </c>
      <c r="C729" s="4" t="s">
        <v>52</v>
      </c>
      <c r="D729" s="4" t="s">
        <v>55</v>
      </c>
      <c r="E729">
        <v>300</v>
      </c>
      <c r="F729">
        <v>150147</v>
      </c>
      <c r="G729">
        <v>0</v>
      </c>
    </row>
    <row r="730" spans="1:7" x14ac:dyDescent="0.25">
      <c r="A730" s="5">
        <v>43495</v>
      </c>
      <c r="B730" s="4" t="s">
        <v>75</v>
      </c>
      <c r="C730" s="4" t="s">
        <v>52</v>
      </c>
      <c r="D730" s="4" t="s">
        <v>55</v>
      </c>
      <c r="E730">
        <v>100</v>
      </c>
      <c r="F730">
        <v>50000</v>
      </c>
      <c r="G730">
        <v>0</v>
      </c>
    </row>
    <row r="731" spans="1:7" x14ac:dyDescent="0.25">
      <c r="A731" s="5">
        <v>43496</v>
      </c>
      <c r="B731" s="4" t="s">
        <v>75</v>
      </c>
      <c r="C731" s="4" t="s">
        <v>52</v>
      </c>
      <c r="D731" s="4" t="s">
        <v>55</v>
      </c>
      <c r="E731">
        <v>36</v>
      </c>
      <c r="F731">
        <v>18137</v>
      </c>
      <c r="G731">
        <v>21000</v>
      </c>
    </row>
    <row r="732" spans="1:7" x14ac:dyDescent="0.25">
      <c r="A732" s="5">
        <v>43474</v>
      </c>
      <c r="B732" s="4" t="s">
        <v>75</v>
      </c>
      <c r="C732" s="4" t="s">
        <v>52</v>
      </c>
      <c r="D732" s="4" t="s">
        <v>64</v>
      </c>
      <c r="E732">
        <v>73</v>
      </c>
      <c r="F732">
        <v>36358</v>
      </c>
      <c r="G732">
        <v>0</v>
      </c>
    </row>
    <row r="733" spans="1:7" x14ac:dyDescent="0.25">
      <c r="A733" s="5">
        <v>43470</v>
      </c>
      <c r="B733" s="4" t="s">
        <v>75</v>
      </c>
      <c r="C733" s="4" t="s">
        <v>52</v>
      </c>
      <c r="D733" s="4" t="s">
        <v>67</v>
      </c>
      <c r="E733">
        <v>176</v>
      </c>
      <c r="F733">
        <v>87885</v>
      </c>
      <c r="G733">
        <v>0</v>
      </c>
    </row>
    <row r="734" spans="1:7" x14ac:dyDescent="0.25">
      <c r="A734" s="5">
        <v>43475</v>
      </c>
      <c r="B734" s="4" t="s">
        <v>75</v>
      </c>
      <c r="C734" s="4" t="s">
        <v>52</v>
      </c>
      <c r="D734" s="4" t="s">
        <v>67</v>
      </c>
      <c r="E734">
        <v>365</v>
      </c>
      <c r="F734">
        <v>182447</v>
      </c>
      <c r="G734">
        <v>0</v>
      </c>
    </row>
    <row r="735" spans="1:7" x14ac:dyDescent="0.25">
      <c r="A735" s="5">
        <v>43469</v>
      </c>
      <c r="B735" s="4" t="s">
        <v>75</v>
      </c>
      <c r="C735" s="4" t="s">
        <v>52</v>
      </c>
      <c r="D735" s="4" t="s">
        <v>54</v>
      </c>
      <c r="E735">
        <v>405</v>
      </c>
      <c r="F735">
        <v>202304</v>
      </c>
      <c r="G735">
        <v>0</v>
      </c>
    </row>
    <row r="736" spans="1:7" x14ac:dyDescent="0.25">
      <c r="A736" s="5">
        <v>43475</v>
      </c>
      <c r="B736" s="4" t="s">
        <v>75</v>
      </c>
      <c r="C736" s="4" t="s">
        <v>52</v>
      </c>
      <c r="D736" s="4" t="s">
        <v>54</v>
      </c>
      <c r="E736">
        <v>538</v>
      </c>
      <c r="F736">
        <v>269079</v>
      </c>
      <c r="G736">
        <v>0</v>
      </c>
    </row>
    <row r="737" spans="1:7" x14ac:dyDescent="0.25">
      <c r="A737" s="5">
        <v>43495</v>
      </c>
      <c r="B737" s="4" t="s">
        <v>75</v>
      </c>
      <c r="C737" s="4" t="s">
        <v>52</v>
      </c>
      <c r="D737" s="4" t="s">
        <v>54</v>
      </c>
      <c r="E737">
        <v>63</v>
      </c>
      <c r="F737">
        <v>31600</v>
      </c>
      <c r="G737">
        <v>11600</v>
      </c>
    </row>
    <row r="738" spans="1:7" x14ac:dyDescent="0.25">
      <c r="A738" s="5">
        <v>43476</v>
      </c>
      <c r="B738" s="4" t="s">
        <v>75</v>
      </c>
      <c r="C738" s="4" t="s">
        <v>52</v>
      </c>
      <c r="D738" s="4" t="s">
        <v>61</v>
      </c>
      <c r="E738">
        <v>536</v>
      </c>
      <c r="F738">
        <v>268141</v>
      </c>
      <c r="G738">
        <v>0</v>
      </c>
    </row>
    <row r="739" spans="1:7" x14ac:dyDescent="0.25">
      <c r="A739" s="5">
        <v>43468</v>
      </c>
      <c r="B739" s="4" t="s">
        <v>75</v>
      </c>
      <c r="C739" s="4" t="s">
        <v>52</v>
      </c>
      <c r="D739" s="4" t="s">
        <v>54</v>
      </c>
      <c r="E739">
        <v>93</v>
      </c>
      <c r="F739">
        <v>46350</v>
      </c>
      <c r="G739">
        <v>0</v>
      </c>
    </row>
    <row r="740" spans="1:7" x14ac:dyDescent="0.25">
      <c r="A740" s="5">
        <v>43489</v>
      </c>
      <c r="B740" s="4" t="s">
        <v>75</v>
      </c>
      <c r="C740" s="4" t="s">
        <v>52</v>
      </c>
      <c r="D740" s="4" t="s">
        <v>54</v>
      </c>
      <c r="E740">
        <v>47</v>
      </c>
      <c r="F740">
        <v>23320</v>
      </c>
      <c r="G740">
        <v>10000</v>
      </c>
    </row>
    <row r="741" spans="1:7" x14ac:dyDescent="0.25">
      <c r="A741" s="5">
        <v>43468</v>
      </c>
      <c r="B741" s="4" t="s">
        <v>75</v>
      </c>
      <c r="C741" s="4" t="s">
        <v>52</v>
      </c>
      <c r="D741" s="4" t="s">
        <v>55</v>
      </c>
      <c r="E741">
        <v>3170</v>
      </c>
      <c r="F741">
        <v>1585046</v>
      </c>
      <c r="G741">
        <v>0</v>
      </c>
    </row>
    <row r="742" spans="1:7" x14ac:dyDescent="0.25">
      <c r="A742" s="5">
        <v>43471</v>
      </c>
      <c r="B742" s="4" t="s">
        <v>75</v>
      </c>
      <c r="C742" s="4" t="s">
        <v>52</v>
      </c>
      <c r="D742" s="4" t="s">
        <v>55</v>
      </c>
      <c r="E742">
        <v>2894</v>
      </c>
      <c r="F742">
        <v>1446773</v>
      </c>
      <c r="G742">
        <v>0</v>
      </c>
    </row>
    <row r="743" spans="1:7" x14ac:dyDescent="0.25">
      <c r="A743" s="5">
        <v>43472</v>
      </c>
      <c r="B743" s="4" t="s">
        <v>75</v>
      </c>
      <c r="C743" s="4" t="s">
        <v>52</v>
      </c>
      <c r="D743" s="4" t="s">
        <v>55</v>
      </c>
      <c r="E743">
        <v>767</v>
      </c>
      <c r="F743">
        <v>383505</v>
      </c>
      <c r="G743">
        <v>0</v>
      </c>
    </row>
    <row r="744" spans="1:7" x14ac:dyDescent="0.25">
      <c r="A744" s="5">
        <v>43474</v>
      </c>
      <c r="B744" s="4" t="s">
        <v>75</v>
      </c>
      <c r="C744" s="4" t="s">
        <v>52</v>
      </c>
      <c r="D744" s="4" t="s">
        <v>55</v>
      </c>
      <c r="E744">
        <v>452</v>
      </c>
      <c r="F744">
        <v>226080</v>
      </c>
      <c r="G744">
        <v>0</v>
      </c>
    </row>
    <row r="745" spans="1:7" x14ac:dyDescent="0.25">
      <c r="A745" s="5">
        <v>43477</v>
      </c>
      <c r="B745" s="4" t="s">
        <v>75</v>
      </c>
      <c r="C745" s="4" t="s">
        <v>52</v>
      </c>
      <c r="D745" s="4" t="s">
        <v>55</v>
      </c>
      <c r="E745">
        <v>765</v>
      </c>
      <c r="F745">
        <v>382640</v>
      </c>
      <c r="G745">
        <v>0</v>
      </c>
    </row>
    <row r="746" spans="1:7" x14ac:dyDescent="0.25">
      <c r="A746" s="5">
        <v>43482</v>
      </c>
      <c r="B746" s="4" t="s">
        <v>75</v>
      </c>
      <c r="C746" s="4" t="s">
        <v>52</v>
      </c>
      <c r="D746" s="4" t="s">
        <v>55</v>
      </c>
      <c r="E746">
        <v>877</v>
      </c>
      <c r="F746">
        <v>438329</v>
      </c>
      <c r="G746">
        <v>0</v>
      </c>
    </row>
    <row r="747" spans="1:7" x14ac:dyDescent="0.25">
      <c r="A747" s="5">
        <v>43483</v>
      </c>
      <c r="B747" s="4" t="s">
        <v>75</v>
      </c>
      <c r="C747" s="4" t="s">
        <v>52</v>
      </c>
      <c r="D747" s="4" t="s">
        <v>55</v>
      </c>
      <c r="E747">
        <v>25</v>
      </c>
      <c r="F747">
        <v>12720</v>
      </c>
      <c r="G747">
        <v>0</v>
      </c>
    </row>
    <row r="748" spans="1:7" x14ac:dyDescent="0.25">
      <c r="A748" s="5">
        <v>43482</v>
      </c>
      <c r="B748" s="4" t="s">
        <v>75</v>
      </c>
      <c r="C748" s="4" t="s">
        <v>52</v>
      </c>
      <c r="D748" s="4" t="s">
        <v>63</v>
      </c>
      <c r="E748">
        <v>172</v>
      </c>
      <c r="F748">
        <v>85985</v>
      </c>
      <c r="G748">
        <v>0</v>
      </c>
    </row>
    <row r="749" spans="1:7" x14ac:dyDescent="0.25">
      <c r="A749" s="5">
        <v>43491</v>
      </c>
      <c r="B749" s="4" t="s">
        <v>75</v>
      </c>
      <c r="C749" s="4" t="s">
        <v>52</v>
      </c>
      <c r="D749" s="4" t="s">
        <v>54</v>
      </c>
      <c r="E749">
        <v>494</v>
      </c>
      <c r="F749">
        <v>247072</v>
      </c>
      <c r="G749">
        <v>0</v>
      </c>
    </row>
    <row r="750" spans="1:7" x14ac:dyDescent="0.25">
      <c r="A750" s="5">
        <v>43492</v>
      </c>
      <c r="B750" s="4" t="s">
        <v>75</v>
      </c>
      <c r="C750" s="4" t="s">
        <v>52</v>
      </c>
      <c r="D750" s="4" t="s">
        <v>54</v>
      </c>
      <c r="E750">
        <v>707</v>
      </c>
      <c r="F750">
        <v>353492</v>
      </c>
      <c r="G750">
        <v>0</v>
      </c>
    </row>
    <row r="751" spans="1:7" x14ac:dyDescent="0.25">
      <c r="A751" s="5">
        <v>43471</v>
      </c>
      <c r="B751" s="4" t="s">
        <v>75</v>
      </c>
      <c r="C751" s="4" t="s">
        <v>52</v>
      </c>
      <c r="D751" s="4" t="s">
        <v>54</v>
      </c>
      <c r="E751">
        <v>162</v>
      </c>
      <c r="F751">
        <v>81029</v>
      </c>
      <c r="G751">
        <v>0</v>
      </c>
    </row>
    <row r="752" spans="1:7" x14ac:dyDescent="0.25">
      <c r="A752" s="5">
        <v>43479</v>
      </c>
      <c r="B752" s="4" t="s">
        <v>75</v>
      </c>
      <c r="C752" s="4" t="s">
        <v>52</v>
      </c>
      <c r="D752" s="4" t="s">
        <v>59</v>
      </c>
      <c r="E752">
        <v>194</v>
      </c>
      <c r="F752">
        <v>96780</v>
      </c>
      <c r="G752">
        <v>780</v>
      </c>
    </row>
    <row r="753" spans="1:7" x14ac:dyDescent="0.25">
      <c r="A753" s="5">
        <v>43489</v>
      </c>
      <c r="B753" s="4" t="s">
        <v>75</v>
      </c>
      <c r="C753" s="4" t="s">
        <v>52</v>
      </c>
      <c r="D753" s="4" t="s">
        <v>59</v>
      </c>
      <c r="E753">
        <v>476</v>
      </c>
      <c r="F753">
        <v>238230</v>
      </c>
      <c r="G753">
        <v>0</v>
      </c>
    </row>
    <row r="754" spans="1:7" x14ac:dyDescent="0.25">
      <c r="A754" s="5">
        <v>43478</v>
      </c>
      <c r="B754" s="4" t="s">
        <v>75</v>
      </c>
      <c r="C754" s="4" t="s">
        <v>52</v>
      </c>
      <c r="D754" s="4" t="s">
        <v>58</v>
      </c>
      <c r="E754">
        <v>159</v>
      </c>
      <c r="F754">
        <v>79294</v>
      </c>
      <c r="G754">
        <v>10000</v>
      </c>
    </row>
    <row r="755" spans="1:7" x14ac:dyDescent="0.25">
      <c r="A755" s="5">
        <v>43493</v>
      </c>
      <c r="B755" s="4" t="s">
        <v>75</v>
      </c>
      <c r="C755" s="4" t="s">
        <v>52</v>
      </c>
      <c r="D755" s="4" t="s">
        <v>58</v>
      </c>
      <c r="E755">
        <v>80</v>
      </c>
      <c r="F755">
        <v>40000</v>
      </c>
      <c r="G755">
        <v>20000</v>
      </c>
    </row>
    <row r="756" spans="1:7" x14ac:dyDescent="0.25">
      <c r="A756" s="5">
        <v>43471</v>
      </c>
      <c r="B756" s="4" t="s">
        <v>75</v>
      </c>
      <c r="C756" s="4" t="s">
        <v>52</v>
      </c>
      <c r="D756" s="4" t="s">
        <v>58</v>
      </c>
      <c r="E756">
        <v>847</v>
      </c>
      <c r="F756">
        <v>423494</v>
      </c>
      <c r="G756">
        <v>0</v>
      </c>
    </row>
    <row r="757" spans="1:7" x14ac:dyDescent="0.25">
      <c r="A757" s="5">
        <v>43468</v>
      </c>
      <c r="B757" s="4" t="s">
        <v>75</v>
      </c>
      <c r="C757" s="4" t="s">
        <v>52</v>
      </c>
      <c r="D757" s="4" t="s">
        <v>61</v>
      </c>
      <c r="E757">
        <v>310</v>
      </c>
      <c r="F757">
        <v>155200</v>
      </c>
      <c r="G757">
        <v>0</v>
      </c>
    </row>
    <row r="758" spans="1:7" x14ac:dyDescent="0.25">
      <c r="A758" s="5">
        <v>43469</v>
      </c>
      <c r="B758" s="4" t="s">
        <v>75</v>
      </c>
      <c r="C758" s="4" t="s">
        <v>52</v>
      </c>
      <c r="D758" s="4" t="s">
        <v>61</v>
      </c>
      <c r="E758">
        <v>458</v>
      </c>
      <c r="F758">
        <v>229167</v>
      </c>
      <c r="G758">
        <v>0</v>
      </c>
    </row>
    <row r="759" spans="1:7" x14ac:dyDescent="0.25">
      <c r="A759" s="5">
        <v>43471</v>
      </c>
      <c r="B759" s="4" t="s">
        <v>75</v>
      </c>
      <c r="C759" s="4" t="s">
        <v>52</v>
      </c>
      <c r="D759" s="4" t="s">
        <v>61</v>
      </c>
      <c r="E759">
        <v>34</v>
      </c>
      <c r="F759">
        <v>17200</v>
      </c>
      <c r="G759">
        <v>0</v>
      </c>
    </row>
    <row r="760" spans="1:7" x14ac:dyDescent="0.25">
      <c r="A760" s="5">
        <v>43475</v>
      </c>
      <c r="B760" s="4" t="s">
        <v>75</v>
      </c>
      <c r="C760" s="4" t="s">
        <v>52</v>
      </c>
      <c r="D760" s="4" t="s">
        <v>61</v>
      </c>
      <c r="E760">
        <v>125</v>
      </c>
      <c r="F760">
        <v>62640</v>
      </c>
      <c r="G760">
        <v>0</v>
      </c>
    </row>
    <row r="761" spans="1:7" x14ac:dyDescent="0.25">
      <c r="A761" s="5">
        <v>43481</v>
      </c>
      <c r="B761" s="4" t="s">
        <v>75</v>
      </c>
      <c r="C761" s="4" t="s">
        <v>52</v>
      </c>
      <c r="D761" s="4" t="s">
        <v>61</v>
      </c>
      <c r="E761">
        <v>141</v>
      </c>
      <c r="F761">
        <v>70600</v>
      </c>
      <c r="G761">
        <v>0</v>
      </c>
    </row>
    <row r="762" spans="1:7" x14ac:dyDescent="0.25">
      <c r="A762" s="5">
        <v>43469</v>
      </c>
      <c r="B762" s="4" t="s">
        <v>75</v>
      </c>
      <c r="C762" s="4" t="s">
        <v>52</v>
      </c>
      <c r="D762" s="4" t="s">
        <v>57</v>
      </c>
      <c r="E762">
        <v>112</v>
      </c>
      <c r="F762">
        <v>55896</v>
      </c>
      <c r="G762">
        <v>0</v>
      </c>
    </row>
    <row r="763" spans="1:7" x14ac:dyDescent="0.25">
      <c r="A763" s="5">
        <v>43477</v>
      </c>
      <c r="B763" s="4" t="s">
        <v>75</v>
      </c>
      <c r="C763" s="4" t="s">
        <v>52</v>
      </c>
      <c r="D763" s="4" t="s">
        <v>56</v>
      </c>
      <c r="E763">
        <v>78</v>
      </c>
      <c r="F763">
        <v>39000</v>
      </c>
      <c r="G763">
        <v>8000</v>
      </c>
    </row>
    <row r="764" spans="1:7" x14ac:dyDescent="0.25">
      <c r="A764" s="5">
        <v>43475</v>
      </c>
      <c r="B764" s="4" t="s">
        <v>75</v>
      </c>
      <c r="C764" s="4" t="s">
        <v>52</v>
      </c>
      <c r="D764" s="4" t="s">
        <v>53</v>
      </c>
      <c r="E764">
        <v>35</v>
      </c>
      <c r="F764">
        <v>17630</v>
      </c>
      <c r="G764">
        <v>630</v>
      </c>
    </row>
    <row r="765" spans="1:7" x14ac:dyDescent="0.25">
      <c r="A765" s="5">
        <v>43467</v>
      </c>
      <c r="B765" s="4" t="s">
        <v>75</v>
      </c>
      <c r="C765" s="4" t="s">
        <v>52</v>
      </c>
      <c r="D765" s="4" t="s">
        <v>53</v>
      </c>
      <c r="E765">
        <v>570</v>
      </c>
      <c r="F765">
        <v>284909</v>
      </c>
      <c r="G765">
        <v>0</v>
      </c>
    </row>
    <row r="766" spans="1:7" x14ac:dyDescent="0.25">
      <c r="A766" s="5">
        <v>43468</v>
      </c>
      <c r="B766" s="4" t="s">
        <v>75</v>
      </c>
      <c r="C766" s="4" t="s">
        <v>52</v>
      </c>
      <c r="D766" s="4" t="s">
        <v>53</v>
      </c>
      <c r="E766">
        <v>1206</v>
      </c>
      <c r="F766">
        <v>602878</v>
      </c>
      <c r="G766">
        <v>0</v>
      </c>
    </row>
    <row r="767" spans="1:7" x14ac:dyDescent="0.25">
      <c r="A767" s="5">
        <v>43469</v>
      </c>
      <c r="B767" s="4" t="s">
        <v>75</v>
      </c>
      <c r="C767" s="4" t="s">
        <v>52</v>
      </c>
      <c r="D767" s="4" t="s">
        <v>53</v>
      </c>
      <c r="E767">
        <v>628</v>
      </c>
      <c r="F767">
        <v>313885</v>
      </c>
      <c r="G767">
        <v>0</v>
      </c>
    </row>
    <row r="768" spans="1:7" x14ac:dyDescent="0.25">
      <c r="A768" s="5">
        <v>43474</v>
      </c>
      <c r="B768" s="4" t="s">
        <v>75</v>
      </c>
      <c r="C768" s="4" t="s">
        <v>52</v>
      </c>
      <c r="D768" s="4" t="s">
        <v>53</v>
      </c>
      <c r="E768">
        <v>14</v>
      </c>
      <c r="F768">
        <v>6975</v>
      </c>
      <c r="G768">
        <v>0</v>
      </c>
    </row>
    <row r="769" spans="1:7" x14ac:dyDescent="0.25">
      <c r="A769" s="5">
        <v>43475</v>
      </c>
      <c r="B769" s="4" t="s">
        <v>75</v>
      </c>
      <c r="C769" s="4" t="s">
        <v>52</v>
      </c>
      <c r="D769" s="4" t="s">
        <v>53</v>
      </c>
      <c r="E769">
        <v>584</v>
      </c>
      <c r="F769">
        <v>292215</v>
      </c>
      <c r="G769">
        <v>0</v>
      </c>
    </row>
    <row r="770" spans="1:7" x14ac:dyDescent="0.25">
      <c r="A770" s="5">
        <v>43490</v>
      </c>
      <c r="B770" s="4" t="s">
        <v>75</v>
      </c>
      <c r="C770" s="4" t="s">
        <v>52</v>
      </c>
      <c r="D770" s="4" t="s">
        <v>53</v>
      </c>
      <c r="E770">
        <v>343</v>
      </c>
      <c r="F770">
        <v>171391</v>
      </c>
      <c r="G770">
        <v>80000</v>
      </c>
    </row>
    <row r="771" spans="1:7" x14ac:dyDescent="0.25">
      <c r="A771" s="5">
        <v>43491</v>
      </c>
      <c r="B771" s="4" t="s">
        <v>75</v>
      </c>
      <c r="C771" s="4" t="s">
        <v>52</v>
      </c>
      <c r="D771" s="4" t="s">
        <v>53</v>
      </c>
      <c r="E771">
        <v>631</v>
      </c>
      <c r="F771">
        <v>315426</v>
      </c>
      <c r="G771">
        <v>0</v>
      </c>
    </row>
    <row r="772" spans="1:7" x14ac:dyDescent="0.25">
      <c r="A772" s="5">
        <v>43469</v>
      </c>
      <c r="B772" s="4" t="s">
        <v>75</v>
      </c>
      <c r="C772" s="4" t="s">
        <v>52</v>
      </c>
      <c r="D772" s="4" t="s">
        <v>60</v>
      </c>
      <c r="E772">
        <v>1126</v>
      </c>
      <c r="F772">
        <v>562786</v>
      </c>
      <c r="G772">
        <v>0</v>
      </c>
    </row>
    <row r="773" spans="1:7" x14ac:dyDescent="0.25">
      <c r="A773" s="5">
        <v>43476</v>
      </c>
      <c r="B773" s="4" t="s">
        <v>75</v>
      </c>
      <c r="C773" s="4" t="s">
        <v>52</v>
      </c>
      <c r="D773" s="4" t="s">
        <v>60</v>
      </c>
      <c r="E773">
        <v>1250</v>
      </c>
      <c r="F773">
        <v>625092</v>
      </c>
      <c r="G773">
        <v>0</v>
      </c>
    </row>
    <row r="774" spans="1:7" x14ac:dyDescent="0.25">
      <c r="A774" s="5">
        <v>43481</v>
      </c>
      <c r="B774" s="4" t="s">
        <v>75</v>
      </c>
      <c r="C774" s="4" t="s">
        <v>52</v>
      </c>
      <c r="D774" s="4" t="s">
        <v>60</v>
      </c>
      <c r="E774">
        <v>267</v>
      </c>
      <c r="F774">
        <v>133302</v>
      </c>
      <c r="G774">
        <v>0</v>
      </c>
    </row>
    <row r="775" spans="1:7" x14ac:dyDescent="0.25">
      <c r="A775" s="5">
        <v>43482</v>
      </c>
      <c r="B775" s="4" t="s">
        <v>75</v>
      </c>
      <c r="C775" s="4" t="s">
        <v>52</v>
      </c>
      <c r="D775" s="4" t="s">
        <v>60</v>
      </c>
      <c r="E775">
        <v>748</v>
      </c>
      <c r="F775">
        <v>373950</v>
      </c>
      <c r="G775">
        <v>0</v>
      </c>
    </row>
    <row r="776" spans="1:7" x14ac:dyDescent="0.25">
      <c r="A776" s="5">
        <v>43484</v>
      </c>
      <c r="B776" s="4" t="s">
        <v>75</v>
      </c>
      <c r="C776" s="4" t="s">
        <v>52</v>
      </c>
      <c r="D776" s="4" t="s">
        <v>60</v>
      </c>
      <c r="E776">
        <v>248</v>
      </c>
      <c r="F776">
        <v>123883</v>
      </c>
      <c r="G776">
        <v>0</v>
      </c>
    </row>
    <row r="777" spans="1:7" x14ac:dyDescent="0.25">
      <c r="A777" s="5">
        <v>43489</v>
      </c>
      <c r="B777" s="4" t="s">
        <v>75</v>
      </c>
      <c r="C777" s="4" t="s">
        <v>52</v>
      </c>
      <c r="D777" s="4" t="s">
        <v>60</v>
      </c>
      <c r="E777">
        <v>238</v>
      </c>
      <c r="F777">
        <v>119056</v>
      </c>
      <c r="G777">
        <v>0</v>
      </c>
    </row>
    <row r="778" spans="1:7" x14ac:dyDescent="0.25">
      <c r="A778" s="5">
        <v>43493</v>
      </c>
      <c r="B778" s="4" t="s">
        <v>75</v>
      </c>
      <c r="C778" s="4" t="s">
        <v>52</v>
      </c>
      <c r="D778" s="4" t="s">
        <v>60</v>
      </c>
      <c r="E778">
        <v>125</v>
      </c>
      <c r="F778">
        <v>62336</v>
      </c>
      <c r="G778">
        <v>20000</v>
      </c>
    </row>
    <row r="779" spans="1:7" x14ac:dyDescent="0.25">
      <c r="A779" s="5">
        <v>43470</v>
      </c>
      <c r="B779" s="4" t="s">
        <v>75</v>
      </c>
      <c r="C779" s="4" t="s">
        <v>52</v>
      </c>
      <c r="D779" s="4" t="s">
        <v>57</v>
      </c>
      <c r="E779">
        <v>535</v>
      </c>
      <c r="F779">
        <v>267620</v>
      </c>
      <c r="G779">
        <v>0</v>
      </c>
    </row>
    <row r="780" spans="1:7" x14ac:dyDescent="0.25">
      <c r="A780" s="5">
        <v>43476</v>
      </c>
      <c r="B780" s="4" t="s">
        <v>75</v>
      </c>
      <c r="C780" s="4" t="s">
        <v>52</v>
      </c>
      <c r="D780" s="4" t="s">
        <v>54</v>
      </c>
      <c r="E780">
        <v>826</v>
      </c>
      <c r="F780">
        <v>413196</v>
      </c>
      <c r="G780">
        <v>0</v>
      </c>
    </row>
    <row r="781" spans="1:7" x14ac:dyDescent="0.25">
      <c r="A781" s="5">
        <v>43483</v>
      </c>
      <c r="B781" s="4" t="s">
        <v>75</v>
      </c>
      <c r="C781" s="4" t="s">
        <v>52</v>
      </c>
      <c r="D781" s="4" t="s">
        <v>54</v>
      </c>
      <c r="E781">
        <v>461</v>
      </c>
      <c r="F781">
        <v>230525</v>
      </c>
      <c r="G781">
        <v>0</v>
      </c>
    </row>
    <row r="782" spans="1:7" x14ac:dyDescent="0.25">
      <c r="A782" s="5">
        <v>43467</v>
      </c>
      <c r="B782" s="4" t="s">
        <v>75</v>
      </c>
      <c r="C782" s="4" t="s">
        <v>52</v>
      </c>
      <c r="D782" s="4" t="s">
        <v>57</v>
      </c>
      <c r="E782">
        <v>410</v>
      </c>
      <c r="F782">
        <v>204950</v>
      </c>
      <c r="G782">
        <v>0</v>
      </c>
    </row>
    <row r="783" spans="1:7" x14ac:dyDescent="0.25">
      <c r="A783" s="5">
        <v>43468</v>
      </c>
      <c r="B783" s="4" t="s">
        <v>75</v>
      </c>
      <c r="C783" s="4" t="s">
        <v>52</v>
      </c>
      <c r="D783" s="4" t="s">
        <v>57</v>
      </c>
      <c r="E783">
        <v>608</v>
      </c>
      <c r="F783">
        <v>304238</v>
      </c>
      <c r="G783">
        <v>0</v>
      </c>
    </row>
    <row r="784" spans="1:7" x14ac:dyDescent="0.25">
      <c r="A784" s="5">
        <v>43469</v>
      </c>
      <c r="B784" s="4" t="s">
        <v>75</v>
      </c>
      <c r="C784" s="4" t="s">
        <v>52</v>
      </c>
      <c r="D784" s="4" t="s">
        <v>57</v>
      </c>
      <c r="E784">
        <v>302</v>
      </c>
      <c r="F784">
        <v>150870</v>
      </c>
      <c r="G784">
        <v>0</v>
      </c>
    </row>
    <row r="785" spans="1:7" x14ac:dyDescent="0.25">
      <c r="A785" s="5">
        <v>43470</v>
      </c>
      <c r="B785" s="4" t="s">
        <v>75</v>
      </c>
      <c r="C785" s="4" t="s">
        <v>52</v>
      </c>
      <c r="D785" s="4" t="s">
        <v>57</v>
      </c>
      <c r="E785">
        <v>2507</v>
      </c>
      <c r="F785">
        <v>1253273</v>
      </c>
      <c r="G785">
        <v>0</v>
      </c>
    </row>
    <row r="786" spans="1:7" x14ac:dyDescent="0.25">
      <c r="A786" s="5">
        <v>43471</v>
      </c>
      <c r="B786" s="4" t="s">
        <v>75</v>
      </c>
      <c r="C786" s="4" t="s">
        <v>52</v>
      </c>
      <c r="D786" s="4" t="s">
        <v>57</v>
      </c>
      <c r="E786">
        <v>113</v>
      </c>
      <c r="F786">
        <v>56280</v>
      </c>
      <c r="G786">
        <v>0</v>
      </c>
    </row>
    <row r="787" spans="1:7" x14ac:dyDescent="0.25">
      <c r="A787" s="5">
        <v>43474</v>
      </c>
      <c r="B787" s="4" t="s">
        <v>75</v>
      </c>
      <c r="C787" s="4" t="s">
        <v>52</v>
      </c>
      <c r="D787" s="4" t="s">
        <v>57</v>
      </c>
      <c r="E787">
        <v>1150</v>
      </c>
      <c r="F787">
        <v>575179</v>
      </c>
      <c r="G787">
        <v>0</v>
      </c>
    </row>
    <row r="788" spans="1:7" x14ac:dyDescent="0.25">
      <c r="A788" s="5">
        <v>43481</v>
      </c>
      <c r="B788" s="4" t="s">
        <v>75</v>
      </c>
      <c r="C788" s="4" t="s">
        <v>52</v>
      </c>
      <c r="D788" s="4" t="s">
        <v>57</v>
      </c>
      <c r="E788">
        <v>754</v>
      </c>
      <c r="F788">
        <v>376840</v>
      </c>
      <c r="G788">
        <v>0</v>
      </c>
    </row>
    <row r="789" spans="1:7" x14ac:dyDescent="0.25">
      <c r="A789" s="5">
        <v>43488</v>
      </c>
      <c r="B789" s="4" t="s">
        <v>75</v>
      </c>
      <c r="C789" s="4" t="s">
        <v>52</v>
      </c>
      <c r="D789" s="4" t="s">
        <v>57</v>
      </c>
      <c r="E789">
        <v>1548</v>
      </c>
      <c r="F789">
        <v>773925</v>
      </c>
      <c r="G789">
        <v>0</v>
      </c>
    </row>
    <row r="790" spans="1:7" x14ac:dyDescent="0.25">
      <c r="A790" s="5">
        <v>43496</v>
      </c>
      <c r="B790" s="4" t="s">
        <v>75</v>
      </c>
      <c r="C790" s="4" t="s">
        <v>52</v>
      </c>
      <c r="D790" s="4" t="s">
        <v>57</v>
      </c>
      <c r="E790">
        <v>122</v>
      </c>
      <c r="F790">
        <v>61095</v>
      </c>
      <c r="G790">
        <v>0</v>
      </c>
    </row>
    <row r="791" spans="1:7" x14ac:dyDescent="0.25">
      <c r="A791" s="5">
        <v>43470</v>
      </c>
      <c r="B791" s="4" t="s">
        <v>75</v>
      </c>
      <c r="C791" s="4" t="s">
        <v>52</v>
      </c>
      <c r="D791" s="4" t="s">
        <v>59</v>
      </c>
      <c r="E791">
        <v>280</v>
      </c>
      <c r="F791">
        <v>139860</v>
      </c>
      <c r="G791">
        <v>0</v>
      </c>
    </row>
    <row r="792" spans="1:7" x14ac:dyDescent="0.25">
      <c r="A792" s="5">
        <v>43471</v>
      </c>
      <c r="B792" s="4" t="s">
        <v>75</v>
      </c>
      <c r="C792" s="4" t="s">
        <v>52</v>
      </c>
      <c r="D792" s="4" t="s">
        <v>62</v>
      </c>
      <c r="E792">
        <v>69</v>
      </c>
      <c r="F792">
        <v>34686</v>
      </c>
      <c r="G792">
        <v>100000</v>
      </c>
    </row>
    <row r="793" spans="1:7" x14ac:dyDescent="0.25">
      <c r="A793" s="5">
        <v>43469</v>
      </c>
      <c r="B793" s="4" t="s">
        <v>75</v>
      </c>
      <c r="C793" s="4" t="s">
        <v>68</v>
      </c>
      <c r="D793" s="4" t="s">
        <v>61</v>
      </c>
      <c r="E793">
        <v>7</v>
      </c>
      <c r="F793">
        <v>3700</v>
      </c>
      <c r="G793">
        <v>0</v>
      </c>
    </row>
    <row r="794" spans="1:7" x14ac:dyDescent="0.25">
      <c r="A794" s="5">
        <v>43483</v>
      </c>
      <c r="B794" s="4" t="s">
        <v>75</v>
      </c>
      <c r="C794" s="4" t="s">
        <v>68</v>
      </c>
      <c r="D794" s="4" t="s">
        <v>55</v>
      </c>
      <c r="E794">
        <v>18</v>
      </c>
      <c r="F794">
        <v>9180</v>
      </c>
      <c r="G794">
        <v>0</v>
      </c>
    </row>
    <row r="795" spans="1:7" x14ac:dyDescent="0.25">
      <c r="A795" s="5">
        <v>43490</v>
      </c>
      <c r="B795" s="4" t="s">
        <v>75</v>
      </c>
      <c r="C795" s="4" t="s">
        <v>68</v>
      </c>
      <c r="D795" s="4" t="s">
        <v>55</v>
      </c>
      <c r="E795">
        <v>42</v>
      </c>
      <c r="F795">
        <v>21040</v>
      </c>
      <c r="G795">
        <v>113680</v>
      </c>
    </row>
    <row r="796" spans="1:7" x14ac:dyDescent="0.25">
      <c r="A796" s="5">
        <v>43490</v>
      </c>
      <c r="B796" s="4" t="s">
        <v>75</v>
      </c>
      <c r="C796" s="4" t="s">
        <v>68</v>
      </c>
      <c r="D796" s="4" t="s">
        <v>70</v>
      </c>
      <c r="E796">
        <v>51</v>
      </c>
      <c r="F796">
        <v>25588</v>
      </c>
      <c r="G796">
        <v>100000</v>
      </c>
    </row>
    <row r="797" spans="1:7" x14ac:dyDescent="0.25">
      <c r="A797" s="5">
        <v>43483</v>
      </c>
      <c r="B797" s="4" t="s">
        <v>75</v>
      </c>
      <c r="C797" s="4" t="s">
        <v>68</v>
      </c>
      <c r="D797" s="4" t="s">
        <v>56</v>
      </c>
      <c r="E797">
        <v>63</v>
      </c>
      <c r="F797">
        <v>31360</v>
      </c>
      <c r="G797">
        <v>146800</v>
      </c>
    </row>
    <row r="798" spans="1:7" x14ac:dyDescent="0.25">
      <c r="A798" s="5">
        <v>43483</v>
      </c>
      <c r="B798" s="4" t="s">
        <v>75</v>
      </c>
      <c r="C798" s="4" t="s">
        <v>68</v>
      </c>
      <c r="D798" s="4" t="s">
        <v>59</v>
      </c>
      <c r="E798">
        <v>64</v>
      </c>
      <c r="F798">
        <v>31800</v>
      </c>
      <c r="G798">
        <v>10000</v>
      </c>
    </row>
    <row r="799" spans="1:7" x14ac:dyDescent="0.25">
      <c r="A799" s="5">
        <v>43469</v>
      </c>
      <c r="B799" s="4" t="s">
        <v>75</v>
      </c>
      <c r="C799" s="4" t="s">
        <v>68</v>
      </c>
      <c r="D799" s="4" t="s">
        <v>59</v>
      </c>
      <c r="E799">
        <v>67</v>
      </c>
      <c r="F799">
        <v>33380</v>
      </c>
      <c r="G799">
        <v>0</v>
      </c>
    </row>
    <row r="800" spans="1:7" x14ac:dyDescent="0.25">
      <c r="A800" s="5">
        <v>43483</v>
      </c>
      <c r="B800" s="4" t="s">
        <v>75</v>
      </c>
      <c r="C800" s="4" t="s">
        <v>68</v>
      </c>
      <c r="D800" s="4" t="s">
        <v>58</v>
      </c>
      <c r="E800">
        <v>69</v>
      </c>
      <c r="F800">
        <v>34400</v>
      </c>
      <c r="G800">
        <v>50700</v>
      </c>
    </row>
    <row r="801" spans="1:7" x14ac:dyDescent="0.25">
      <c r="A801" s="5">
        <v>43476</v>
      </c>
      <c r="B801" s="4" t="s">
        <v>75</v>
      </c>
      <c r="C801" s="4" t="s">
        <v>68</v>
      </c>
      <c r="D801" s="4" t="s">
        <v>56</v>
      </c>
      <c r="E801">
        <v>75</v>
      </c>
      <c r="F801">
        <v>37600</v>
      </c>
      <c r="G801">
        <v>30000</v>
      </c>
    </row>
    <row r="802" spans="1:7" x14ac:dyDescent="0.25">
      <c r="A802" s="5">
        <v>43490</v>
      </c>
      <c r="B802" s="4" t="s">
        <v>75</v>
      </c>
      <c r="C802" s="4" t="s">
        <v>68</v>
      </c>
      <c r="D802" s="4" t="s">
        <v>57</v>
      </c>
      <c r="E802">
        <v>78</v>
      </c>
      <c r="F802">
        <v>38850</v>
      </c>
      <c r="G802">
        <v>685000</v>
      </c>
    </row>
    <row r="803" spans="1:7" x14ac:dyDescent="0.25">
      <c r="A803" s="5">
        <v>43476</v>
      </c>
      <c r="B803" s="4" t="s">
        <v>75</v>
      </c>
      <c r="C803" s="4" t="s">
        <v>68</v>
      </c>
      <c r="D803" s="4" t="s">
        <v>59</v>
      </c>
      <c r="E803">
        <v>92</v>
      </c>
      <c r="F803">
        <v>46160</v>
      </c>
      <c r="G803">
        <v>20000</v>
      </c>
    </row>
    <row r="804" spans="1:7" x14ac:dyDescent="0.25">
      <c r="A804" s="5">
        <v>43476</v>
      </c>
      <c r="B804" s="4" t="s">
        <v>75</v>
      </c>
      <c r="C804" s="4" t="s">
        <v>68</v>
      </c>
      <c r="D804" s="4" t="s">
        <v>69</v>
      </c>
      <c r="E804">
        <v>99</v>
      </c>
      <c r="F804">
        <v>49370</v>
      </c>
      <c r="G804">
        <v>68000</v>
      </c>
    </row>
    <row r="805" spans="1:7" x14ac:dyDescent="0.25">
      <c r="A805" s="5">
        <v>43483</v>
      </c>
      <c r="B805" s="4" t="s">
        <v>75</v>
      </c>
      <c r="C805" s="4" t="s">
        <v>68</v>
      </c>
      <c r="D805" s="4" t="s">
        <v>67</v>
      </c>
      <c r="E805">
        <v>103</v>
      </c>
      <c r="F805">
        <v>51500</v>
      </c>
      <c r="G805">
        <v>0</v>
      </c>
    </row>
    <row r="806" spans="1:7" x14ac:dyDescent="0.25">
      <c r="A806" s="5">
        <v>43476</v>
      </c>
      <c r="B806" s="4" t="s">
        <v>75</v>
      </c>
      <c r="C806" s="4" t="s">
        <v>68</v>
      </c>
      <c r="D806" s="4" t="s">
        <v>70</v>
      </c>
      <c r="E806">
        <v>111</v>
      </c>
      <c r="F806">
        <v>55330</v>
      </c>
      <c r="G806">
        <v>20000</v>
      </c>
    </row>
    <row r="807" spans="1:7" x14ac:dyDescent="0.25">
      <c r="A807" s="5">
        <v>43476</v>
      </c>
      <c r="B807" s="4" t="s">
        <v>75</v>
      </c>
      <c r="C807" s="4" t="s">
        <v>68</v>
      </c>
      <c r="D807" s="4" t="s">
        <v>67</v>
      </c>
      <c r="E807">
        <v>120</v>
      </c>
      <c r="F807">
        <v>60000</v>
      </c>
      <c r="G807">
        <v>46500</v>
      </c>
    </row>
    <row r="808" spans="1:7" x14ac:dyDescent="0.25">
      <c r="A808" s="5">
        <v>43483</v>
      </c>
      <c r="B808" s="4" t="s">
        <v>75</v>
      </c>
      <c r="C808" s="4" t="s">
        <v>68</v>
      </c>
      <c r="D808" s="4" t="s">
        <v>54</v>
      </c>
      <c r="E808">
        <v>123</v>
      </c>
      <c r="F808">
        <v>61480</v>
      </c>
      <c r="G808">
        <v>82920</v>
      </c>
    </row>
    <row r="809" spans="1:7" x14ac:dyDescent="0.25">
      <c r="A809" s="5">
        <v>43490</v>
      </c>
      <c r="B809" s="4" t="s">
        <v>75</v>
      </c>
      <c r="C809" s="4" t="s">
        <v>68</v>
      </c>
      <c r="D809" s="4" t="s">
        <v>61</v>
      </c>
      <c r="E809">
        <v>130</v>
      </c>
      <c r="F809">
        <v>65030</v>
      </c>
      <c r="G809">
        <v>95780</v>
      </c>
    </row>
    <row r="810" spans="1:7" x14ac:dyDescent="0.25">
      <c r="A810" s="5">
        <v>43490</v>
      </c>
      <c r="B810" s="4" t="s">
        <v>75</v>
      </c>
      <c r="C810" s="4" t="s">
        <v>68</v>
      </c>
      <c r="D810" s="4" t="s">
        <v>54</v>
      </c>
      <c r="E810">
        <v>143</v>
      </c>
      <c r="F810">
        <v>71350</v>
      </c>
      <c r="G810">
        <v>50000</v>
      </c>
    </row>
    <row r="811" spans="1:7" x14ac:dyDescent="0.25">
      <c r="A811" s="5">
        <v>43490</v>
      </c>
      <c r="B811" s="4" t="s">
        <v>75</v>
      </c>
      <c r="C811" s="4" t="s">
        <v>68</v>
      </c>
      <c r="D811" s="4" t="s">
        <v>64</v>
      </c>
      <c r="E811">
        <v>149</v>
      </c>
      <c r="F811">
        <v>74310</v>
      </c>
      <c r="G811">
        <v>1838700</v>
      </c>
    </row>
    <row r="812" spans="1:7" x14ac:dyDescent="0.25">
      <c r="A812" s="5">
        <v>43469</v>
      </c>
      <c r="B812" s="4" t="s">
        <v>75</v>
      </c>
      <c r="C812" s="4" t="s">
        <v>68</v>
      </c>
      <c r="D812" s="4" t="s">
        <v>57</v>
      </c>
      <c r="E812">
        <v>153</v>
      </c>
      <c r="F812">
        <v>76380</v>
      </c>
      <c r="G812">
        <v>0</v>
      </c>
    </row>
    <row r="813" spans="1:7" x14ac:dyDescent="0.25">
      <c r="A813" s="5">
        <v>43483</v>
      </c>
      <c r="B813" s="4" t="s">
        <v>75</v>
      </c>
      <c r="C813" s="4" t="s">
        <v>68</v>
      </c>
      <c r="D813" s="4" t="s">
        <v>61</v>
      </c>
      <c r="E813">
        <v>158</v>
      </c>
      <c r="F813">
        <v>78840</v>
      </c>
      <c r="G813">
        <v>300000</v>
      </c>
    </row>
    <row r="814" spans="1:7" x14ac:dyDescent="0.25">
      <c r="A814" s="5">
        <v>43483</v>
      </c>
      <c r="B814" s="4" t="s">
        <v>75</v>
      </c>
      <c r="C814" s="4" t="s">
        <v>68</v>
      </c>
      <c r="D814" s="4" t="s">
        <v>62</v>
      </c>
      <c r="E814">
        <v>158</v>
      </c>
      <c r="F814">
        <v>79110</v>
      </c>
      <c r="G814">
        <v>10000</v>
      </c>
    </row>
    <row r="815" spans="1:7" x14ac:dyDescent="0.25">
      <c r="A815" s="5">
        <v>43483</v>
      </c>
      <c r="B815" s="4" t="s">
        <v>75</v>
      </c>
      <c r="C815" s="4" t="s">
        <v>68</v>
      </c>
      <c r="D815" s="4" t="s">
        <v>56</v>
      </c>
      <c r="E815">
        <v>163</v>
      </c>
      <c r="F815">
        <v>81740</v>
      </c>
      <c r="G815">
        <v>40000</v>
      </c>
    </row>
    <row r="816" spans="1:7" x14ac:dyDescent="0.25">
      <c r="A816" s="5">
        <v>43476</v>
      </c>
      <c r="B816" s="4" t="s">
        <v>75</v>
      </c>
      <c r="C816" s="4" t="s">
        <v>68</v>
      </c>
      <c r="D816" s="4" t="s">
        <v>56</v>
      </c>
      <c r="E816">
        <v>172</v>
      </c>
      <c r="F816">
        <v>86020</v>
      </c>
      <c r="G816">
        <v>30400</v>
      </c>
    </row>
    <row r="817" spans="1:7" x14ac:dyDescent="0.25">
      <c r="A817" s="5">
        <v>43469</v>
      </c>
      <c r="B817" s="4" t="s">
        <v>75</v>
      </c>
      <c r="C817" s="4" t="s">
        <v>68</v>
      </c>
      <c r="D817" s="4" t="s">
        <v>57</v>
      </c>
      <c r="E817">
        <v>181</v>
      </c>
      <c r="F817">
        <v>90400</v>
      </c>
      <c r="G817">
        <v>0</v>
      </c>
    </row>
    <row r="818" spans="1:7" x14ac:dyDescent="0.25">
      <c r="A818" s="5">
        <v>43490</v>
      </c>
      <c r="B818" s="4" t="s">
        <v>75</v>
      </c>
      <c r="C818" s="4" t="s">
        <v>68</v>
      </c>
      <c r="D818" s="4" t="s">
        <v>71</v>
      </c>
      <c r="E818">
        <v>183</v>
      </c>
      <c r="F818">
        <v>91510</v>
      </c>
      <c r="G818">
        <v>9250</v>
      </c>
    </row>
    <row r="819" spans="1:7" x14ac:dyDescent="0.25">
      <c r="A819" s="5">
        <v>43476</v>
      </c>
      <c r="B819" s="4" t="s">
        <v>75</v>
      </c>
      <c r="C819" s="4" t="s">
        <v>68</v>
      </c>
      <c r="D819" s="4" t="s">
        <v>56</v>
      </c>
      <c r="E819">
        <v>206</v>
      </c>
      <c r="F819">
        <v>102840</v>
      </c>
      <c r="G819">
        <v>20000</v>
      </c>
    </row>
    <row r="820" spans="1:7" x14ac:dyDescent="0.25">
      <c r="A820" s="5">
        <v>43476</v>
      </c>
      <c r="B820" s="4" t="s">
        <v>75</v>
      </c>
      <c r="C820" s="4" t="s">
        <v>68</v>
      </c>
      <c r="D820" s="4" t="s">
        <v>65</v>
      </c>
      <c r="E820">
        <v>208</v>
      </c>
      <c r="F820">
        <v>103910</v>
      </c>
      <c r="G820">
        <v>25000</v>
      </c>
    </row>
    <row r="821" spans="1:7" x14ac:dyDescent="0.25">
      <c r="A821" s="5">
        <v>43469</v>
      </c>
      <c r="B821" s="4" t="s">
        <v>75</v>
      </c>
      <c r="C821" s="4" t="s">
        <v>68</v>
      </c>
      <c r="D821" s="4" t="s">
        <v>63</v>
      </c>
      <c r="E821">
        <v>217</v>
      </c>
      <c r="F821">
        <v>108400</v>
      </c>
      <c r="G821">
        <v>0</v>
      </c>
    </row>
    <row r="822" spans="1:7" x14ac:dyDescent="0.25">
      <c r="A822" s="5">
        <v>43490</v>
      </c>
      <c r="B822" s="4" t="s">
        <v>75</v>
      </c>
      <c r="C822" s="4" t="s">
        <v>68</v>
      </c>
      <c r="D822" s="4" t="s">
        <v>60</v>
      </c>
      <c r="E822">
        <v>246</v>
      </c>
      <c r="F822">
        <v>122880</v>
      </c>
      <c r="G822">
        <v>0</v>
      </c>
    </row>
    <row r="823" spans="1:7" x14ac:dyDescent="0.25">
      <c r="A823" s="5">
        <v>43476</v>
      </c>
      <c r="B823" s="4" t="s">
        <v>75</v>
      </c>
      <c r="C823" s="4" t="s">
        <v>68</v>
      </c>
      <c r="D823" s="4" t="s">
        <v>61</v>
      </c>
      <c r="E823">
        <v>261</v>
      </c>
      <c r="F823">
        <v>130480</v>
      </c>
      <c r="G823">
        <v>15000</v>
      </c>
    </row>
    <row r="824" spans="1:7" x14ac:dyDescent="0.25">
      <c r="A824" s="5">
        <v>43483</v>
      </c>
      <c r="B824" s="4" t="s">
        <v>75</v>
      </c>
      <c r="C824" s="4" t="s">
        <v>68</v>
      </c>
      <c r="D824" s="4" t="s">
        <v>70</v>
      </c>
      <c r="E824">
        <v>262</v>
      </c>
      <c r="F824">
        <v>130780</v>
      </c>
      <c r="G824">
        <v>116000</v>
      </c>
    </row>
    <row r="825" spans="1:7" x14ac:dyDescent="0.25">
      <c r="A825" s="5">
        <v>43469</v>
      </c>
      <c r="B825" s="4" t="s">
        <v>75</v>
      </c>
      <c r="C825" s="4" t="s">
        <v>68</v>
      </c>
      <c r="D825" s="4" t="s">
        <v>56</v>
      </c>
      <c r="E825">
        <v>267</v>
      </c>
      <c r="F825">
        <v>133440</v>
      </c>
      <c r="G825">
        <v>0</v>
      </c>
    </row>
    <row r="826" spans="1:7" x14ac:dyDescent="0.25">
      <c r="A826" s="5">
        <v>43476</v>
      </c>
      <c r="B826" s="4" t="s">
        <v>75</v>
      </c>
      <c r="C826" s="4" t="s">
        <v>68</v>
      </c>
      <c r="D826" s="4" t="s">
        <v>70</v>
      </c>
      <c r="E826">
        <v>275</v>
      </c>
      <c r="F826">
        <v>137430</v>
      </c>
      <c r="G826">
        <v>180000</v>
      </c>
    </row>
    <row r="827" spans="1:7" x14ac:dyDescent="0.25">
      <c r="A827" s="5">
        <v>43490</v>
      </c>
      <c r="B827" s="4" t="s">
        <v>75</v>
      </c>
      <c r="C827" s="4" t="s">
        <v>68</v>
      </c>
      <c r="D827" s="4" t="s">
        <v>59</v>
      </c>
      <c r="E827">
        <v>279</v>
      </c>
      <c r="F827">
        <v>139465</v>
      </c>
      <c r="G827">
        <v>27035</v>
      </c>
    </row>
    <row r="828" spans="1:7" x14ac:dyDescent="0.25">
      <c r="A828" s="5">
        <v>43476</v>
      </c>
      <c r="B828" s="4" t="s">
        <v>75</v>
      </c>
      <c r="C828" s="4" t="s">
        <v>68</v>
      </c>
      <c r="D828" s="4" t="s">
        <v>64</v>
      </c>
      <c r="E828">
        <v>334</v>
      </c>
      <c r="F828">
        <v>167210</v>
      </c>
      <c r="G828">
        <v>50000</v>
      </c>
    </row>
    <row r="829" spans="1:7" x14ac:dyDescent="0.25">
      <c r="A829" s="5">
        <v>43483</v>
      </c>
      <c r="B829" s="4" t="s">
        <v>75</v>
      </c>
      <c r="C829" s="4" t="s">
        <v>68</v>
      </c>
      <c r="D829" s="4" t="s">
        <v>59</v>
      </c>
      <c r="E829">
        <v>337</v>
      </c>
      <c r="F829">
        <v>168650</v>
      </c>
      <c r="G829">
        <v>100000</v>
      </c>
    </row>
    <row r="830" spans="1:7" x14ac:dyDescent="0.25">
      <c r="A830" s="5">
        <v>43476</v>
      </c>
      <c r="B830" s="4" t="s">
        <v>75</v>
      </c>
      <c r="C830" s="4" t="s">
        <v>68</v>
      </c>
      <c r="D830" s="4" t="s">
        <v>59</v>
      </c>
      <c r="E830">
        <v>344</v>
      </c>
      <c r="F830">
        <v>171890</v>
      </c>
      <c r="G830">
        <v>0</v>
      </c>
    </row>
    <row r="831" spans="1:7" x14ac:dyDescent="0.25">
      <c r="A831" s="5">
        <v>43469</v>
      </c>
      <c r="B831" s="4" t="s">
        <v>75</v>
      </c>
      <c r="C831" s="4" t="s">
        <v>68</v>
      </c>
      <c r="D831" s="4" t="s">
        <v>67</v>
      </c>
      <c r="E831">
        <v>365</v>
      </c>
      <c r="F831">
        <v>182500</v>
      </c>
      <c r="G831">
        <v>0</v>
      </c>
    </row>
    <row r="832" spans="1:7" x14ac:dyDescent="0.25">
      <c r="A832" s="5">
        <v>43490</v>
      </c>
      <c r="B832" s="4" t="s">
        <v>75</v>
      </c>
      <c r="C832" s="4" t="s">
        <v>68</v>
      </c>
      <c r="D832" s="4" t="s">
        <v>56</v>
      </c>
      <c r="E832">
        <v>371</v>
      </c>
      <c r="F832">
        <v>185470</v>
      </c>
      <c r="G832">
        <v>61000</v>
      </c>
    </row>
    <row r="833" spans="1:7" x14ac:dyDescent="0.25">
      <c r="A833" s="5">
        <v>43469</v>
      </c>
      <c r="B833" s="4" t="s">
        <v>75</v>
      </c>
      <c r="C833" s="4" t="s">
        <v>68</v>
      </c>
      <c r="D833" s="4" t="s">
        <v>70</v>
      </c>
      <c r="E833">
        <v>375</v>
      </c>
      <c r="F833">
        <v>187370</v>
      </c>
      <c r="G833">
        <v>0</v>
      </c>
    </row>
    <row r="834" spans="1:7" x14ac:dyDescent="0.25">
      <c r="A834" s="5">
        <v>43490</v>
      </c>
      <c r="B834" s="4" t="s">
        <v>75</v>
      </c>
      <c r="C834" s="4" t="s">
        <v>68</v>
      </c>
      <c r="D834" s="4" t="s">
        <v>61</v>
      </c>
      <c r="E834">
        <v>397</v>
      </c>
      <c r="F834">
        <v>198700</v>
      </c>
      <c r="G834">
        <v>240000</v>
      </c>
    </row>
    <row r="835" spans="1:7" x14ac:dyDescent="0.25">
      <c r="A835" s="5">
        <v>43469</v>
      </c>
      <c r="B835" s="4" t="s">
        <v>75</v>
      </c>
      <c r="C835" s="4" t="s">
        <v>68</v>
      </c>
      <c r="D835" s="4" t="s">
        <v>61</v>
      </c>
      <c r="E835">
        <v>410</v>
      </c>
      <c r="F835">
        <v>204770</v>
      </c>
      <c r="G835">
        <v>0</v>
      </c>
    </row>
    <row r="836" spans="1:7" x14ac:dyDescent="0.25">
      <c r="A836" s="5">
        <v>43476</v>
      </c>
      <c r="B836" s="4" t="s">
        <v>75</v>
      </c>
      <c r="C836" s="4" t="s">
        <v>68</v>
      </c>
      <c r="D836" s="4" t="s">
        <v>58</v>
      </c>
      <c r="E836">
        <v>419</v>
      </c>
      <c r="F836">
        <v>209720</v>
      </c>
      <c r="G836">
        <v>0</v>
      </c>
    </row>
    <row r="837" spans="1:7" x14ac:dyDescent="0.25">
      <c r="A837" s="5">
        <v>43476</v>
      </c>
      <c r="B837" s="4" t="s">
        <v>75</v>
      </c>
      <c r="C837" s="4" t="s">
        <v>68</v>
      </c>
      <c r="D837" s="4" t="s">
        <v>54</v>
      </c>
      <c r="E837">
        <v>423</v>
      </c>
      <c r="F837">
        <v>211300</v>
      </c>
      <c r="G837">
        <v>108700</v>
      </c>
    </row>
    <row r="838" spans="1:7" x14ac:dyDescent="0.25">
      <c r="A838" s="5">
        <v>43476</v>
      </c>
      <c r="B838" s="4" t="s">
        <v>75</v>
      </c>
      <c r="C838" s="4" t="s">
        <v>68</v>
      </c>
      <c r="D838" s="4" t="s">
        <v>58</v>
      </c>
      <c r="E838">
        <v>459</v>
      </c>
      <c r="F838">
        <v>229520</v>
      </c>
      <c r="G838">
        <v>200000</v>
      </c>
    </row>
    <row r="839" spans="1:7" x14ac:dyDescent="0.25">
      <c r="A839" s="5">
        <v>43476</v>
      </c>
      <c r="B839" s="4" t="s">
        <v>75</v>
      </c>
      <c r="C839" s="4" t="s">
        <v>68</v>
      </c>
      <c r="D839" s="4" t="s">
        <v>55</v>
      </c>
      <c r="E839">
        <v>467</v>
      </c>
      <c r="F839">
        <v>233630</v>
      </c>
      <c r="G839">
        <v>0</v>
      </c>
    </row>
    <row r="840" spans="1:7" x14ac:dyDescent="0.25">
      <c r="A840" s="5">
        <v>43469</v>
      </c>
      <c r="B840" s="4" t="s">
        <v>75</v>
      </c>
      <c r="C840" s="4" t="s">
        <v>68</v>
      </c>
      <c r="D840" s="4" t="s">
        <v>61</v>
      </c>
      <c r="E840">
        <v>467</v>
      </c>
      <c r="F840">
        <v>233350</v>
      </c>
      <c r="G840">
        <v>0</v>
      </c>
    </row>
    <row r="841" spans="1:7" x14ac:dyDescent="0.25">
      <c r="A841" s="5">
        <v>43483</v>
      </c>
      <c r="B841" s="4" t="s">
        <v>75</v>
      </c>
      <c r="C841" s="4" t="s">
        <v>68</v>
      </c>
      <c r="D841" s="4" t="s">
        <v>67</v>
      </c>
      <c r="E841">
        <v>468</v>
      </c>
      <c r="F841">
        <v>234250</v>
      </c>
      <c r="G841">
        <v>100000</v>
      </c>
    </row>
    <row r="842" spans="1:7" x14ac:dyDescent="0.25">
      <c r="A842" s="5">
        <v>43490</v>
      </c>
      <c r="B842" s="4" t="s">
        <v>75</v>
      </c>
      <c r="C842" s="4" t="s">
        <v>68</v>
      </c>
      <c r="D842" s="4" t="s">
        <v>57</v>
      </c>
      <c r="E842">
        <v>502</v>
      </c>
      <c r="F842">
        <v>250920</v>
      </c>
      <c r="G842">
        <v>726190</v>
      </c>
    </row>
    <row r="843" spans="1:7" x14ac:dyDescent="0.25">
      <c r="A843" s="5">
        <v>43476</v>
      </c>
      <c r="B843" s="4" t="s">
        <v>75</v>
      </c>
      <c r="C843" s="4" t="s">
        <v>68</v>
      </c>
      <c r="D843" s="4" t="s">
        <v>61</v>
      </c>
      <c r="E843">
        <v>523</v>
      </c>
      <c r="F843">
        <v>261380</v>
      </c>
      <c r="G843">
        <v>0</v>
      </c>
    </row>
    <row r="844" spans="1:7" x14ac:dyDescent="0.25">
      <c r="A844" s="5">
        <v>43469</v>
      </c>
      <c r="B844" s="4" t="s">
        <v>75</v>
      </c>
      <c r="C844" s="4" t="s">
        <v>68</v>
      </c>
      <c r="D844" s="4" t="s">
        <v>58</v>
      </c>
      <c r="E844">
        <v>564</v>
      </c>
      <c r="F844">
        <v>281910</v>
      </c>
      <c r="G844">
        <v>10000</v>
      </c>
    </row>
    <row r="845" spans="1:7" x14ac:dyDescent="0.25">
      <c r="A845" s="5">
        <v>43483</v>
      </c>
      <c r="B845" s="4" t="s">
        <v>75</v>
      </c>
      <c r="C845" s="4" t="s">
        <v>68</v>
      </c>
      <c r="D845" s="4" t="s">
        <v>71</v>
      </c>
      <c r="E845">
        <v>572</v>
      </c>
      <c r="F845">
        <v>286080</v>
      </c>
      <c r="G845">
        <v>8600</v>
      </c>
    </row>
    <row r="846" spans="1:7" x14ac:dyDescent="0.25">
      <c r="A846" s="5">
        <v>43483</v>
      </c>
      <c r="B846" s="4" t="s">
        <v>75</v>
      </c>
      <c r="C846" s="4" t="s">
        <v>68</v>
      </c>
      <c r="D846" s="4" t="s">
        <v>61</v>
      </c>
      <c r="E846">
        <v>578</v>
      </c>
      <c r="F846">
        <v>289070</v>
      </c>
      <c r="G846">
        <v>292000</v>
      </c>
    </row>
    <row r="847" spans="1:7" x14ac:dyDescent="0.25">
      <c r="A847" s="5">
        <v>43483</v>
      </c>
      <c r="B847" s="4" t="s">
        <v>75</v>
      </c>
      <c r="C847" s="4" t="s">
        <v>68</v>
      </c>
      <c r="D847" s="4" t="s">
        <v>54</v>
      </c>
      <c r="E847">
        <v>611</v>
      </c>
      <c r="F847">
        <v>305380</v>
      </c>
      <c r="G847">
        <v>150000</v>
      </c>
    </row>
    <row r="848" spans="1:7" x14ac:dyDescent="0.25">
      <c r="A848" s="5">
        <v>43476</v>
      </c>
      <c r="B848" s="4" t="s">
        <v>75</v>
      </c>
      <c r="C848" s="4" t="s">
        <v>68</v>
      </c>
      <c r="D848" s="4" t="s">
        <v>54</v>
      </c>
      <c r="E848">
        <v>627</v>
      </c>
      <c r="F848">
        <v>313300</v>
      </c>
      <c r="G848">
        <v>0</v>
      </c>
    </row>
    <row r="849" spans="1:7" x14ac:dyDescent="0.25">
      <c r="A849" s="5">
        <v>43469</v>
      </c>
      <c r="B849" s="4" t="s">
        <v>75</v>
      </c>
      <c r="C849" s="4" t="s">
        <v>68</v>
      </c>
      <c r="D849" s="4" t="s">
        <v>63</v>
      </c>
      <c r="E849">
        <v>659</v>
      </c>
      <c r="F849">
        <v>329620</v>
      </c>
      <c r="G849">
        <v>0</v>
      </c>
    </row>
    <row r="850" spans="1:7" x14ac:dyDescent="0.25">
      <c r="A850" s="5">
        <v>43490</v>
      </c>
      <c r="B850" s="4" t="s">
        <v>75</v>
      </c>
      <c r="C850" s="4" t="s">
        <v>68</v>
      </c>
      <c r="D850" s="4" t="s">
        <v>61</v>
      </c>
      <c r="E850">
        <v>661</v>
      </c>
      <c r="F850">
        <v>330400</v>
      </c>
      <c r="G850">
        <v>50000</v>
      </c>
    </row>
    <row r="851" spans="1:7" x14ac:dyDescent="0.25">
      <c r="A851" s="5">
        <v>43476</v>
      </c>
      <c r="B851" s="4" t="s">
        <v>75</v>
      </c>
      <c r="C851" s="4" t="s">
        <v>68</v>
      </c>
      <c r="D851" s="4" t="s">
        <v>54</v>
      </c>
      <c r="E851">
        <v>668</v>
      </c>
      <c r="F851">
        <v>333800</v>
      </c>
      <c r="G851">
        <v>6000</v>
      </c>
    </row>
    <row r="852" spans="1:7" x14ac:dyDescent="0.25">
      <c r="A852" s="5">
        <v>43490</v>
      </c>
      <c r="B852" s="4" t="s">
        <v>75</v>
      </c>
      <c r="C852" s="4" t="s">
        <v>68</v>
      </c>
      <c r="D852" s="4" t="s">
        <v>57</v>
      </c>
      <c r="E852">
        <v>729</v>
      </c>
      <c r="F852">
        <v>364400</v>
      </c>
      <c r="G852">
        <v>428310</v>
      </c>
    </row>
    <row r="853" spans="1:7" x14ac:dyDescent="0.25">
      <c r="A853" s="5">
        <v>43476</v>
      </c>
      <c r="B853" s="4" t="s">
        <v>75</v>
      </c>
      <c r="C853" s="4" t="s">
        <v>68</v>
      </c>
      <c r="D853" s="4" t="s">
        <v>54</v>
      </c>
      <c r="E853">
        <v>733</v>
      </c>
      <c r="F853">
        <v>366560</v>
      </c>
      <c r="G853">
        <v>100000</v>
      </c>
    </row>
    <row r="854" spans="1:7" x14ac:dyDescent="0.25">
      <c r="A854" s="5">
        <v>43476</v>
      </c>
      <c r="B854" s="4" t="s">
        <v>75</v>
      </c>
      <c r="C854" s="4" t="s">
        <v>68</v>
      </c>
      <c r="D854" s="4" t="s">
        <v>55</v>
      </c>
      <c r="E854">
        <v>753</v>
      </c>
      <c r="F854">
        <v>376690</v>
      </c>
      <c r="G854">
        <v>0</v>
      </c>
    </row>
    <row r="855" spans="1:7" x14ac:dyDescent="0.25">
      <c r="A855" s="5">
        <v>43469</v>
      </c>
      <c r="B855" s="4" t="s">
        <v>75</v>
      </c>
      <c r="C855" s="4" t="s">
        <v>68</v>
      </c>
      <c r="D855" s="4" t="s">
        <v>71</v>
      </c>
      <c r="E855">
        <v>755</v>
      </c>
      <c r="F855">
        <v>377720</v>
      </c>
      <c r="G855">
        <v>17000</v>
      </c>
    </row>
    <row r="856" spans="1:7" x14ac:dyDescent="0.25">
      <c r="A856" s="5">
        <v>43483</v>
      </c>
      <c r="B856" s="4" t="s">
        <v>75</v>
      </c>
      <c r="C856" s="4" t="s">
        <v>68</v>
      </c>
      <c r="D856" s="4" t="s">
        <v>61</v>
      </c>
      <c r="E856">
        <v>790</v>
      </c>
      <c r="F856">
        <v>395010</v>
      </c>
      <c r="G856">
        <v>20000</v>
      </c>
    </row>
    <row r="857" spans="1:7" x14ac:dyDescent="0.25">
      <c r="A857" s="5">
        <v>43469</v>
      </c>
      <c r="B857" s="4" t="s">
        <v>75</v>
      </c>
      <c r="C857" s="4" t="s">
        <v>68</v>
      </c>
      <c r="D857" s="4" t="s">
        <v>55</v>
      </c>
      <c r="E857">
        <v>818</v>
      </c>
      <c r="F857">
        <v>408800</v>
      </c>
      <c r="G857">
        <v>0</v>
      </c>
    </row>
    <row r="858" spans="1:7" x14ac:dyDescent="0.25">
      <c r="A858" s="5">
        <v>43469</v>
      </c>
      <c r="B858" s="4" t="s">
        <v>75</v>
      </c>
      <c r="C858" s="4" t="s">
        <v>68</v>
      </c>
      <c r="D858" s="4" t="s">
        <v>54</v>
      </c>
      <c r="E858">
        <v>832</v>
      </c>
      <c r="F858">
        <v>415800</v>
      </c>
      <c r="G858">
        <v>0</v>
      </c>
    </row>
    <row r="859" spans="1:7" x14ac:dyDescent="0.25">
      <c r="A859" s="5">
        <v>43476</v>
      </c>
      <c r="B859" s="4" t="s">
        <v>75</v>
      </c>
      <c r="C859" s="4" t="s">
        <v>68</v>
      </c>
      <c r="D859" s="4" t="s">
        <v>53</v>
      </c>
      <c r="E859">
        <v>857</v>
      </c>
      <c r="F859">
        <v>428440</v>
      </c>
      <c r="G859">
        <v>60000</v>
      </c>
    </row>
    <row r="860" spans="1:7" x14ac:dyDescent="0.25">
      <c r="A860" s="5">
        <v>43476</v>
      </c>
      <c r="B860" s="4" t="s">
        <v>75</v>
      </c>
      <c r="C860" s="4" t="s">
        <v>68</v>
      </c>
      <c r="D860" s="4" t="s">
        <v>56</v>
      </c>
      <c r="E860">
        <v>876</v>
      </c>
      <c r="F860">
        <v>437940</v>
      </c>
      <c r="G860">
        <v>151980</v>
      </c>
    </row>
    <row r="861" spans="1:7" x14ac:dyDescent="0.25">
      <c r="A861" s="5">
        <v>43476</v>
      </c>
      <c r="B861" s="4" t="s">
        <v>75</v>
      </c>
      <c r="C861" s="4" t="s">
        <v>68</v>
      </c>
      <c r="D861" s="4" t="s">
        <v>54</v>
      </c>
      <c r="E861">
        <v>880</v>
      </c>
      <c r="F861">
        <v>440050</v>
      </c>
      <c r="G861">
        <v>480000</v>
      </c>
    </row>
    <row r="862" spans="1:7" x14ac:dyDescent="0.25">
      <c r="A862" s="5">
        <v>43483</v>
      </c>
      <c r="B862" s="4" t="s">
        <v>75</v>
      </c>
      <c r="C862" s="4" t="s">
        <v>68</v>
      </c>
      <c r="D862" s="4" t="s">
        <v>54</v>
      </c>
      <c r="E862">
        <v>930</v>
      </c>
      <c r="F862">
        <v>465080</v>
      </c>
      <c r="G862">
        <v>100000</v>
      </c>
    </row>
    <row r="863" spans="1:7" x14ac:dyDescent="0.25">
      <c r="A863" s="5">
        <v>43476</v>
      </c>
      <c r="B863" s="4" t="s">
        <v>75</v>
      </c>
      <c r="C863" s="4" t="s">
        <v>68</v>
      </c>
      <c r="D863" s="4" t="s">
        <v>61</v>
      </c>
      <c r="E863">
        <v>945</v>
      </c>
      <c r="F863">
        <v>472350</v>
      </c>
      <c r="G863">
        <v>0</v>
      </c>
    </row>
    <row r="864" spans="1:7" x14ac:dyDescent="0.25">
      <c r="A864" s="5">
        <v>43483</v>
      </c>
      <c r="B864" s="4" t="s">
        <v>75</v>
      </c>
      <c r="C864" s="4" t="s">
        <v>68</v>
      </c>
      <c r="D864" s="4" t="s">
        <v>55</v>
      </c>
      <c r="E864">
        <v>974</v>
      </c>
      <c r="F864">
        <v>486860</v>
      </c>
      <c r="G864">
        <v>36000</v>
      </c>
    </row>
    <row r="865" spans="1:7" x14ac:dyDescent="0.25">
      <c r="A865" s="5">
        <v>43469</v>
      </c>
      <c r="B865" s="4" t="s">
        <v>75</v>
      </c>
      <c r="C865" s="4" t="s">
        <v>68</v>
      </c>
      <c r="D865" s="4" t="s">
        <v>69</v>
      </c>
      <c r="E865">
        <v>994</v>
      </c>
      <c r="F865">
        <v>497113</v>
      </c>
      <c r="G865">
        <v>0</v>
      </c>
    </row>
    <row r="866" spans="1:7" x14ac:dyDescent="0.25">
      <c r="A866" s="5">
        <v>43483</v>
      </c>
      <c r="B866" s="4" t="s">
        <v>75</v>
      </c>
      <c r="C866" s="4" t="s">
        <v>68</v>
      </c>
      <c r="D866" s="4" t="s">
        <v>57</v>
      </c>
      <c r="E866">
        <v>1498</v>
      </c>
      <c r="F866">
        <v>748980</v>
      </c>
      <c r="G866">
        <v>0</v>
      </c>
    </row>
    <row r="867" spans="1:7" x14ac:dyDescent="0.25">
      <c r="A867" s="5">
        <v>43483</v>
      </c>
      <c r="B867" s="4" t="s">
        <v>75</v>
      </c>
      <c r="C867" s="4" t="s">
        <v>68</v>
      </c>
      <c r="D867" s="4" t="s">
        <v>54</v>
      </c>
      <c r="E867">
        <v>1524</v>
      </c>
      <c r="F867">
        <v>761900</v>
      </c>
      <c r="G867">
        <v>130690</v>
      </c>
    </row>
    <row r="868" spans="1:7" x14ac:dyDescent="0.25">
      <c r="A868" s="5">
        <v>43490</v>
      </c>
      <c r="B868" s="4" t="s">
        <v>75</v>
      </c>
      <c r="C868" s="4" t="s">
        <v>68</v>
      </c>
      <c r="D868" s="4" t="s">
        <v>57</v>
      </c>
      <c r="E868">
        <v>1595</v>
      </c>
      <c r="F868">
        <v>797470</v>
      </c>
      <c r="G868">
        <v>110000</v>
      </c>
    </row>
    <row r="869" spans="1:7" x14ac:dyDescent="0.25">
      <c r="A869" s="5">
        <v>43467</v>
      </c>
      <c r="B869" s="4" t="s">
        <v>75</v>
      </c>
      <c r="C869" s="4" t="s">
        <v>72</v>
      </c>
      <c r="D869" s="4" t="s">
        <v>57</v>
      </c>
      <c r="E869">
        <v>44</v>
      </c>
      <c r="F869">
        <v>21800</v>
      </c>
      <c r="G869">
        <v>0</v>
      </c>
    </row>
    <row r="870" spans="1:7" x14ac:dyDescent="0.25">
      <c r="A870" s="5">
        <v>43496</v>
      </c>
      <c r="B870" s="4" t="s">
        <v>75</v>
      </c>
      <c r="C870" s="4" t="s">
        <v>72</v>
      </c>
      <c r="D870" s="4" t="s">
        <v>64</v>
      </c>
      <c r="E870">
        <v>35</v>
      </c>
      <c r="F870">
        <v>17500</v>
      </c>
      <c r="G870">
        <v>500</v>
      </c>
    </row>
    <row r="871" spans="1:7" x14ac:dyDescent="0.25">
      <c r="A871" s="5">
        <v>43472</v>
      </c>
      <c r="B871" s="4" t="s">
        <v>75</v>
      </c>
      <c r="C871" s="4" t="s">
        <v>72</v>
      </c>
      <c r="D871" s="4" t="s">
        <v>66</v>
      </c>
      <c r="E871">
        <v>495</v>
      </c>
      <c r="F871">
        <v>247460</v>
      </c>
      <c r="G871">
        <v>0</v>
      </c>
    </row>
    <row r="872" spans="1:7" x14ac:dyDescent="0.25">
      <c r="A872" s="5">
        <v>43489</v>
      </c>
      <c r="B872" s="4" t="s">
        <v>75</v>
      </c>
      <c r="C872" s="4" t="s">
        <v>72</v>
      </c>
      <c r="D872" s="4" t="s">
        <v>66</v>
      </c>
      <c r="E872">
        <v>19</v>
      </c>
      <c r="F872">
        <v>9280</v>
      </c>
      <c r="G872">
        <v>5021</v>
      </c>
    </row>
    <row r="873" spans="1:7" x14ac:dyDescent="0.25">
      <c r="A873" s="5">
        <v>43472</v>
      </c>
      <c r="B873" s="4" t="s">
        <v>75</v>
      </c>
      <c r="C873" s="4" t="s">
        <v>72</v>
      </c>
      <c r="D873" s="4" t="s">
        <v>61</v>
      </c>
      <c r="E873">
        <v>155</v>
      </c>
      <c r="F873">
        <v>77660</v>
      </c>
      <c r="G873">
        <v>27660</v>
      </c>
    </row>
    <row r="874" spans="1:7" x14ac:dyDescent="0.25">
      <c r="A874" s="5">
        <v>43496</v>
      </c>
      <c r="B874" s="4" t="s">
        <v>75</v>
      </c>
      <c r="C874" s="4" t="s">
        <v>72</v>
      </c>
      <c r="D874" s="4" t="s">
        <v>61</v>
      </c>
      <c r="E874">
        <v>18</v>
      </c>
      <c r="F874">
        <v>9250</v>
      </c>
      <c r="G874">
        <v>0</v>
      </c>
    </row>
    <row r="875" spans="1:7" x14ac:dyDescent="0.25">
      <c r="A875" s="5">
        <v>43471</v>
      </c>
      <c r="B875" s="4" t="s">
        <v>75</v>
      </c>
      <c r="C875" s="4" t="s">
        <v>72</v>
      </c>
      <c r="D875" s="4" t="s">
        <v>53</v>
      </c>
      <c r="E875">
        <v>28</v>
      </c>
      <c r="F875">
        <v>13950</v>
      </c>
      <c r="G875">
        <v>13950</v>
      </c>
    </row>
    <row r="876" spans="1:7" x14ac:dyDescent="0.25">
      <c r="A876" s="5">
        <v>43476</v>
      </c>
      <c r="B876" s="4" t="s">
        <v>75</v>
      </c>
      <c r="C876" s="4" t="s">
        <v>72</v>
      </c>
      <c r="D876" s="4" t="s">
        <v>53</v>
      </c>
      <c r="E876">
        <v>168</v>
      </c>
      <c r="F876">
        <v>83900</v>
      </c>
      <c r="G876">
        <v>0</v>
      </c>
    </row>
    <row r="877" spans="1:7" x14ac:dyDescent="0.25">
      <c r="A877" s="5">
        <v>43486</v>
      </c>
      <c r="B877" s="4" t="s">
        <v>75</v>
      </c>
      <c r="C877" s="4" t="s">
        <v>72</v>
      </c>
      <c r="D877" s="4" t="s">
        <v>53</v>
      </c>
      <c r="E877">
        <v>281</v>
      </c>
      <c r="F877">
        <v>140320</v>
      </c>
      <c r="G877">
        <v>47000</v>
      </c>
    </row>
    <row r="878" spans="1:7" x14ac:dyDescent="0.25">
      <c r="A878" s="5">
        <v>43475</v>
      </c>
      <c r="B878" s="4" t="s">
        <v>75</v>
      </c>
      <c r="C878" s="4" t="s">
        <v>72</v>
      </c>
      <c r="D878" s="4" t="s">
        <v>67</v>
      </c>
      <c r="E878">
        <v>53</v>
      </c>
      <c r="F878">
        <v>26530</v>
      </c>
      <c r="G878">
        <v>0</v>
      </c>
    </row>
    <row r="879" spans="1:7" x14ac:dyDescent="0.25">
      <c r="A879" s="5">
        <v>43484</v>
      </c>
      <c r="B879" s="4" t="s">
        <v>75</v>
      </c>
      <c r="C879" s="4" t="s">
        <v>72</v>
      </c>
      <c r="D879" s="4" t="s">
        <v>56</v>
      </c>
      <c r="E879">
        <v>160</v>
      </c>
      <c r="F879">
        <v>79980</v>
      </c>
      <c r="G879">
        <v>15000</v>
      </c>
    </row>
    <row r="880" spans="1:7" x14ac:dyDescent="0.25">
      <c r="A880" s="5">
        <v>43490</v>
      </c>
      <c r="B880" s="4" t="s">
        <v>75</v>
      </c>
      <c r="C880" s="4" t="s">
        <v>72</v>
      </c>
      <c r="D880" s="4" t="s">
        <v>56</v>
      </c>
      <c r="E880">
        <v>18</v>
      </c>
      <c r="F880">
        <v>9200</v>
      </c>
      <c r="G880">
        <v>0</v>
      </c>
    </row>
    <row r="881" spans="1:7" x14ac:dyDescent="0.25">
      <c r="A881" s="5">
        <v>43468</v>
      </c>
      <c r="B881" s="4" t="s">
        <v>75</v>
      </c>
      <c r="C881" s="4" t="s">
        <v>72</v>
      </c>
      <c r="D881" s="4" t="s">
        <v>55</v>
      </c>
      <c r="E881">
        <v>333</v>
      </c>
      <c r="F881">
        <v>166710</v>
      </c>
      <c r="G881">
        <v>152700</v>
      </c>
    </row>
    <row r="882" spans="1:7" x14ac:dyDescent="0.25">
      <c r="A882" s="5">
        <v>43470</v>
      </c>
      <c r="B882" s="4" t="s">
        <v>75</v>
      </c>
      <c r="C882" s="4" t="s">
        <v>72</v>
      </c>
      <c r="D882" s="4" t="s">
        <v>55</v>
      </c>
      <c r="E882">
        <v>64</v>
      </c>
      <c r="F882">
        <v>32050</v>
      </c>
      <c r="G882">
        <v>0</v>
      </c>
    </row>
    <row r="883" spans="1:7" x14ac:dyDescent="0.25">
      <c r="A883" s="5">
        <v>43471</v>
      </c>
      <c r="B883" s="4" t="s">
        <v>75</v>
      </c>
      <c r="C883" s="4" t="s">
        <v>72</v>
      </c>
      <c r="D883" s="4" t="s">
        <v>55</v>
      </c>
      <c r="E883">
        <v>121</v>
      </c>
      <c r="F883">
        <v>60695</v>
      </c>
      <c r="G883">
        <v>0</v>
      </c>
    </row>
    <row r="884" spans="1:7" x14ac:dyDescent="0.25">
      <c r="A884" s="5">
        <v>43474</v>
      </c>
      <c r="B884" s="4" t="s">
        <v>75</v>
      </c>
      <c r="C884" s="4" t="s">
        <v>72</v>
      </c>
      <c r="D884" s="4" t="s">
        <v>55</v>
      </c>
      <c r="E884">
        <v>495</v>
      </c>
      <c r="F884">
        <v>247630</v>
      </c>
      <c r="G884">
        <v>5000</v>
      </c>
    </row>
    <row r="885" spans="1:7" x14ac:dyDescent="0.25">
      <c r="A885" s="5">
        <v>43475</v>
      </c>
      <c r="B885" s="4" t="s">
        <v>75</v>
      </c>
      <c r="C885" s="4" t="s">
        <v>72</v>
      </c>
      <c r="D885" s="4" t="s">
        <v>55</v>
      </c>
      <c r="E885">
        <v>88</v>
      </c>
      <c r="F885">
        <v>44235</v>
      </c>
      <c r="G885">
        <v>51000</v>
      </c>
    </row>
    <row r="886" spans="1:7" x14ac:dyDescent="0.25">
      <c r="A886" s="5">
        <v>43476</v>
      </c>
      <c r="B886" s="4" t="s">
        <v>75</v>
      </c>
      <c r="C886" s="4" t="s">
        <v>72</v>
      </c>
      <c r="D886" s="4" t="s">
        <v>55</v>
      </c>
      <c r="E886">
        <v>143</v>
      </c>
      <c r="F886">
        <v>71315</v>
      </c>
      <c r="G886">
        <v>0</v>
      </c>
    </row>
    <row r="887" spans="1:7" x14ac:dyDescent="0.25">
      <c r="A887" s="5">
        <v>43478</v>
      </c>
      <c r="B887" s="4" t="s">
        <v>75</v>
      </c>
      <c r="C887" s="4" t="s">
        <v>72</v>
      </c>
      <c r="D887" s="4" t="s">
        <v>55</v>
      </c>
      <c r="E887">
        <v>350</v>
      </c>
      <c r="F887">
        <v>174780</v>
      </c>
      <c r="G887">
        <v>0</v>
      </c>
    </row>
    <row r="888" spans="1:7" x14ac:dyDescent="0.25">
      <c r="A888" s="5">
        <v>43479</v>
      </c>
      <c r="B888" s="4" t="s">
        <v>75</v>
      </c>
      <c r="C888" s="4" t="s">
        <v>72</v>
      </c>
      <c r="D888" s="4" t="s">
        <v>55</v>
      </c>
      <c r="E888">
        <v>90</v>
      </c>
      <c r="F888">
        <v>44800</v>
      </c>
      <c r="G888">
        <v>10000</v>
      </c>
    </row>
    <row r="889" spans="1:7" x14ac:dyDescent="0.25">
      <c r="A889" s="5">
        <v>43481</v>
      </c>
      <c r="B889" s="4" t="s">
        <v>75</v>
      </c>
      <c r="C889" s="4" t="s">
        <v>72</v>
      </c>
      <c r="D889" s="4" t="s">
        <v>55</v>
      </c>
      <c r="E889">
        <v>36</v>
      </c>
      <c r="F889">
        <v>18250</v>
      </c>
      <c r="G889">
        <v>18250</v>
      </c>
    </row>
    <row r="890" spans="1:7" x14ac:dyDescent="0.25">
      <c r="A890" s="5">
        <v>43482</v>
      </c>
      <c r="B890" s="4" t="s">
        <v>75</v>
      </c>
      <c r="C890" s="4" t="s">
        <v>72</v>
      </c>
      <c r="D890" s="4" t="s">
        <v>55</v>
      </c>
      <c r="E890">
        <v>108</v>
      </c>
      <c r="F890">
        <v>54100</v>
      </c>
      <c r="G890">
        <v>10000</v>
      </c>
    </row>
    <row r="891" spans="1:7" x14ac:dyDescent="0.25">
      <c r="A891" s="5">
        <v>43484</v>
      </c>
      <c r="B891" s="4" t="s">
        <v>75</v>
      </c>
      <c r="C891" s="4" t="s">
        <v>72</v>
      </c>
      <c r="D891" s="4" t="s">
        <v>55</v>
      </c>
      <c r="E891">
        <v>29</v>
      </c>
      <c r="F891">
        <v>14340</v>
      </c>
      <c r="G891">
        <v>10000</v>
      </c>
    </row>
    <row r="892" spans="1:7" x14ac:dyDescent="0.25">
      <c r="A892" s="5">
        <v>43485</v>
      </c>
      <c r="B892" s="4" t="s">
        <v>75</v>
      </c>
      <c r="C892" s="4" t="s">
        <v>72</v>
      </c>
      <c r="D892" s="4" t="s">
        <v>55</v>
      </c>
      <c r="E892">
        <v>48</v>
      </c>
      <c r="F892">
        <v>24070</v>
      </c>
      <c r="G892">
        <v>15000</v>
      </c>
    </row>
    <row r="893" spans="1:7" x14ac:dyDescent="0.25">
      <c r="A893" s="5">
        <v>43486</v>
      </c>
      <c r="B893" s="4" t="s">
        <v>75</v>
      </c>
      <c r="C893" s="4" t="s">
        <v>72</v>
      </c>
      <c r="D893" s="4" t="s">
        <v>55</v>
      </c>
      <c r="E893">
        <v>43</v>
      </c>
      <c r="F893">
        <v>21520</v>
      </c>
      <c r="G893">
        <v>0</v>
      </c>
    </row>
    <row r="894" spans="1:7" x14ac:dyDescent="0.25">
      <c r="A894" s="5">
        <v>43489</v>
      </c>
      <c r="B894" s="4" t="s">
        <v>75</v>
      </c>
      <c r="C894" s="4" t="s">
        <v>72</v>
      </c>
      <c r="D894" s="4" t="s">
        <v>55</v>
      </c>
      <c r="E894">
        <v>209</v>
      </c>
      <c r="F894">
        <v>104315</v>
      </c>
      <c r="G894">
        <v>12000</v>
      </c>
    </row>
    <row r="895" spans="1:7" x14ac:dyDescent="0.25">
      <c r="A895" s="5">
        <v>43490</v>
      </c>
      <c r="B895" s="4" t="s">
        <v>75</v>
      </c>
      <c r="C895" s="4" t="s">
        <v>72</v>
      </c>
      <c r="D895" s="4" t="s">
        <v>55</v>
      </c>
      <c r="E895">
        <v>151</v>
      </c>
      <c r="F895">
        <v>75630</v>
      </c>
      <c r="G895">
        <v>30000</v>
      </c>
    </row>
    <row r="896" spans="1:7" x14ac:dyDescent="0.25">
      <c r="A896" s="5">
        <v>43491</v>
      </c>
      <c r="B896" s="4" t="s">
        <v>75</v>
      </c>
      <c r="C896" s="4" t="s">
        <v>72</v>
      </c>
      <c r="D896" s="4" t="s">
        <v>55</v>
      </c>
      <c r="E896">
        <v>158</v>
      </c>
      <c r="F896">
        <v>79090</v>
      </c>
      <c r="G896">
        <v>25000</v>
      </c>
    </row>
    <row r="897" spans="1:7" x14ac:dyDescent="0.25">
      <c r="A897" s="5">
        <v>43492</v>
      </c>
      <c r="B897" s="4" t="s">
        <v>75</v>
      </c>
      <c r="C897" s="4" t="s">
        <v>72</v>
      </c>
      <c r="D897" s="4" t="s">
        <v>55</v>
      </c>
      <c r="E897">
        <v>140</v>
      </c>
      <c r="F897">
        <v>70145</v>
      </c>
      <c r="G897">
        <v>28260</v>
      </c>
    </row>
    <row r="898" spans="1:7" x14ac:dyDescent="0.25">
      <c r="A898" s="5">
        <v>43493</v>
      </c>
      <c r="B898" s="4" t="s">
        <v>75</v>
      </c>
      <c r="C898" s="4" t="s">
        <v>72</v>
      </c>
      <c r="D898" s="4" t="s">
        <v>55</v>
      </c>
      <c r="E898">
        <v>16</v>
      </c>
      <c r="F898">
        <v>7990</v>
      </c>
      <c r="G898">
        <v>10000</v>
      </c>
    </row>
    <row r="899" spans="1:7" x14ac:dyDescent="0.25">
      <c r="A899" s="5">
        <v>43495</v>
      </c>
      <c r="B899" s="4" t="s">
        <v>75</v>
      </c>
      <c r="C899" s="4" t="s">
        <v>72</v>
      </c>
      <c r="D899" s="4" t="s">
        <v>55</v>
      </c>
      <c r="E899">
        <v>5</v>
      </c>
      <c r="F899">
        <v>2545</v>
      </c>
      <c r="G899">
        <v>15315</v>
      </c>
    </row>
    <row r="900" spans="1:7" x14ac:dyDescent="0.25">
      <c r="A900" s="5">
        <v>43496</v>
      </c>
      <c r="B900" s="4" t="s">
        <v>75</v>
      </c>
      <c r="C900" s="4" t="s">
        <v>72</v>
      </c>
      <c r="D900" s="4" t="s">
        <v>55</v>
      </c>
      <c r="E900">
        <v>53</v>
      </c>
      <c r="F900">
        <v>26675</v>
      </c>
      <c r="G900">
        <v>15000</v>
      </c>
    </row>
    <row r="901" spans="1:7" x14ac:dyDescent="0.25">
      <c r="A901" s="5">
        <v>43495</v>
      </c>
      <c r="B901" s="4" t="s">
        <v>75</v>
      </c>
      <c r="C901" s="4" t="s">
        <v>72</v>
      </c>
      <c r="D901" s="4" t="s">
        <v>57</v>
      </c>
      <c r="E901">
        <v>142</v>
      </c>
      <c r="F901">
        <v>71250</v>
      </c>
      <c r="G901">
        <v>0</v>
      </c>
    </row>
    <row r="902" spans="1:7" x14ac:dyDescent="0.25">
      <c r="A902" s="5">
        <v>43467</v>
      </c>
      <c r="B902" s="4" t="s">
        <v>75</v>
      </c>
      <c r="C902" s="4" t="s">
        <v>72</v>
      </c>
      <c r="D902" s="4" t="s">
        <v>54</v>
      </c>
      <c r="E902">
        <v>109</v>
      </c>
      <c r="F902">
        <v>54550</v>
      </c>
      <c r="G902">
        <v>0</v>
      </c>
    </row>
    <row r="903" spans="1:7" x14ac:dyDescent="0.25">
      <c r="A903" s="5">
        <v>43469</v>
      </c>
      <c r="B903" s="4" t="s">
        <v>75</v>
      </c>
      <c r="C903" s="4" t="s">
        <v>72</v>
      </c>
      <c r="D903" s="4" t="s">
        <v>54</v>
      </c>
      <c r="E903">
        <v>152</v>
      </c>
      <c r="F903">
        <v>76240</v>
      </c>
      <c r="G903">
        <v>0</v>
      </c>
    </row>
    <row r="904" spans="1:7" x14ac:dyDescent="0.25">
      <c r="A904" s="5">
        <v>43472</v>
      </c>
      <c r="B904" s="4" t="s">
        <v>75</v>
      </c>
      <c r="C904" s="4" t="s">
        <v>72</v>
      </c>
      <c r="D904" s="4" t="s">
        <v>54</v>
      </c>
      <c r="E904">
        <v>294</v>
      </c>
      <c r="F904">
        <v>147080</v>
      </c>
      <c r="G904">
        <v>0</v>
      </c>
    </row>
    <row r="905" spans="1:7" x14ac:dyDescent="0.25">
      <c r="A905" s="5">
        <v>43482</v>
      </c>
      <c r="B905" s="4" t="s">
        <v>75</v>
      </c>
      <c r="C905" s="4" t="s">
        <v>72</v>
      </c>
      <c r="D905" s="4" t="s">
        <v>54</v>
      </c>
      <c r="E905">
        <v>120</v>
      </c>
      <c r="F905">
        <v>59885</v>
      </c>
      <c r="G905">
        <v>0</v>
      </c>
    </row>
    <row r="906" spans="1:7" x14ac:dyDescent="0.25">
      <c r="A906" s="5">
        <v>43489</v>
      </c>
      <c r="B906" s="4" t="s">
        <v>75</v>
      </c>
      <c r="C906" s="4" t="s">
        <v>72</v>
      </c>
      <c r="D906" s="4" t="s">
        <v>54</v>
      </c>
      <c r="E906">
        <v>9</v>
      </c>
      <c r="F906">
        <v>4680</v>
      </c>
      <c r="G906">
        <v>10000</v>
      </c>
    </row>
    <row r="907" spans="1:7" x14ac:dyDescent="0.25">
      <c r="A907" s="5">
        <v>43492</v>
      </c>
      <c r="B907" s="4" t="s">
        <v>75</v>
      </c>
      <c r="C907" s="4" t="s">
        <v>72</v>
      </c>
      <c r="D907" s="4" t="s">
        <v>54</v>
      </c>
      <c r="E907">
        <v>359</v>
      </c>
      <c r="F907">
        <v>179280</v>
      </c>
      <c r="G907">
        <v>5000</v>
      </c>
    </row>
    <row r="908" spans="1:7" x14ac:dyDescent="0.25">
      <c r="A908" s="5">
        <v>43496</v>
      </c>
      <c r="B908" s="4" t="s">
        <v>75</v>
      </c>
      <c r="C908" s="4" t="s">
        <v>72</v>
      </c>
      <c r="D908" s="4" t="s">
        <v>54</v>
      </c>
      <c r="E908">
        <v>15</v>
      </c>
      <c r="F908">
        <v>7684</v>
      </c>
      <c r="G908">
        <v>10000</v>
      </c>
    </row>
    <row r="909" spans="1:7" x14ac:dyDescent="0.25">
      <c r="A909" s="5">
        <v>43491</v>
      </c>
      <c r="B909" s="4" t="s">
        <v>75</v>
      </c>
      <c r="C909" s="4" t="s">
        <v>72</v>
      </c>
      <c r="D909" s="4" t="s">
        <v>65</v>
      </c>
      <c r="E909">
        <v>79</v>
      </c>
      <c r="F909">
        <v>39270</v>
      </c>
      <c r="G909">
        <v>9000</v>
      </c>
    </row>
    <row r="910" spans="1:7" x14ac:dyDescent="0.25">
      <c r="A910" s="5">
        <v>43496</v>
      </c>
      <c r="B910" s="4" t="s">
        <v>75</v>
      </c>
      <c r="C910" s="4" t="s">
        <v>72</v>
      </c>
      <c r="D910" s="4" t="s">
        <v>65</v>
      </c>
      <c r="E910">
        <v>82</v>
      </c>
      <c r="F910">
        <v>41210</v>
      </c>
      <c r="G910">
        <v>0</v>
      </c>
    </row>
    <row r="911" spans="1:7" x14ac:dyDescent="0.25">
      <c r="A911" s="5">
        <v>43478</v>
      </c>
      <c r="B911" s="4" t="s">
        <v>75</v>
      </c>
      <c r="C911" s="4" t="s">
        <v>72</v>
      </c>
      <c r="D911" s="4" t="s">
        <v>63</v>
      </c>
      <c r="E911">
        <v>53</v>
      </c>
      <c r="F911">
        <v>26640</v>
      </c>
      <c r="G911">
        <v>0</v>
      </c>
    </row>
    <row r="912" spans="1:7" x14ac:dyDescent="0.25">
      <c r="A912" s="5">
        <v>43478</v>
      </c>
      <c r="B912" s="4" t="s">
        <v>75</v>
      </c>
      <c r="C912" s="4" t="s">
        <v>72</v>
      </c>
      <c r="D912" s="4" t="s">
        <v>54</v>
      </c>
      <c r="E912">
        <v>402</v>
      </c>
      <c r="F912">
        <v>201245</v>
      </c>
      <c r="G912">
        <v>0</v>
      </c>
    </row>
    <row r="913" spans="1:7" x14ac:dyDescent="0.25">
      <c r="A913" s="5">
        <v>43470</v>
      </c>
      <c r="B913" s="4" t="s">
        <v>75</v>
      </c>
      <c r="C913" s="4" t="s">
        <v>72</v>
      </c>
      <c r="D913" s="4" t="s">
        <v>57</v>
      </c>
      <c r="E913">
        <v>3558</v>
      </c>
      <c r="F913">
        <v>1779090</v>
      </c>
      <c r="G913">
        <v>0</v>
      </c>
    </row>
    <row r="914" spans="1:7" x14ac:dyDescent="0.25">
      <c r="A914" s="5">
        <v>43476</v>
      </c>
      <c r="B914" s="4" t="s">
        <v>75</v>
      </c>
      <c r="C914" s="4" t="s">
        <v>72</v>
      </c>
      <c r="D914" s="4" t="s">
        <v>57</v>
      </c>
      <c r="E914">
        <v>766</v>
      </c>
      <c r="F914">
        <v>382860</v>
      </c>
      <c r="G914">
        <v>0</v>
      </c>
    </row>
    <row r="915" spans="1:7" x14ac:dyDescent="0.25">
      <c r="A915" s="5">
        <v>43477</v>
      </c>
      <c r="B915" s="4" t="s">
        <v>75</v>
      </c>
      <c r="C915" s="4" t="s">
        <v>72</v>
      </c>
      <c r="D915" s="4" t="s">
        <v>58</v>
      </c>
      <c r="E915">
        <v>52</v>
      </c>
      <c r="F915">
        <v>26200</v>
      </c>
      <c r="G915">
        <v>0</v>
      </c>
    </row>
    <row r="916" spans="1:7" x14ac:dyDescent="0.25">
      <c r="A916" s="5">
        <v>43489</v>
      </c>
      <c r="B916" s="4" t="s">
        <v>75</v>
      </c>
      <c r="C916" s="4" t="s">
        <v>72</v>
      </c>
      <c r="D916" s="4" t="s">
        <v>56</v>
      </c>
      <c r="E916">
        <v>91</v>
      </c>
      <c r="F916">
        <v>45495</v>
      </c>
      <c r="G916">
        <v>0</v>
      </c>
    </row>
    <row r="917" spans="1:7" x14ac:dyDescent="0.25">
      <c r="A917" s="5">
        <v>43475</v>
      </c>
      <c r="B917" s="4" t="s">
        <v>75</v>
      </c>
      <c r="C917" s="4" t="s">
        <v>72</v>
      </c>
      <c r="D917" s="4" t="s">
        <v>65</v>
      </c>
      <c r="E917">
        <v>128</v>
      </c>
      <c r="F917">
        <v>64225</v>
      </c>
      <c r="G917">
        <v>10000</v>
      </c>
    </row>
    <row r="918" spans="1:7" x14ac:dyDescent="0.25">
      <c r="A918" s="5">
        <v>43484</v>
      </c>
      <c r="B918" s="4" t="s">
        <v>75</v>
      </c>
      <c r="C918" s="4" t="s">
        <v>72</v>
      </c>
      <c r="D918" s="4" t="s">
        <v>65</v>
      </c>
      <c r="E918">
        <v>60</v>
      </c>
      <c r="F918">
        <v>29960</v>
      </c>
      <c r="G918">
        <v>10000</v>
      </c>
    </row>
    <row r="919" spans="1:7" x14ac:dyDescent="0.25">
      <c r="A919" s="5">
        <v>43475</v>
      </c>
      <c r="B919" s="4" t="s">
        <v>75</v>
      </c>
      <c r="C919" s="4" t="s">
        <v>72</v>
      </c>
      <c r="D919" s="4" t="s">
        <v>57</v>
      </c>
      <c r="E919">
        <v>422</v>
      </c>
      <c r="F919">
        <v>210750</v>
      </c>
      <c r="G919">
        <v>0</v>
      </c>
    </row>
    <row r="920" spans="1:7" x14ac:dyDescent="0.25">
      <c r="A920" s="5">
        <v>43477</v>
      </c>
      <c r="B920" s="4" t="s">
        <v>75</v>
      </c>
      <c r="C920" s="4" t="s">
        <v>72</v>
      </c>
      <c r="D920" s="4" t="s">
        <v>57</v>
      </c>
      <c r="E920">
        <v>500</v>
      </c>
      <c r="F920">
        <v>250120</v>
      </c>
      <c r="G920">
        <v>26000</v>
      </c>
    </row>
    <row r="921" spans="1:7" x14ac:dyDescent="0.25">
      <c r="A921" s="5">
        <v>43484</v>
      </c>
      <c r="B921" s="4" t="s">
        <v>75</v>
      </c>
      <c r="C921" s="4" t="s">
        <v>72</v>
      </c>
      <c r="D921" s="4" t="s">
        <v>57</v>
      </c>
      <c r="E921">
        <v>471</v>
      </c>
      <c r="F921">
        <v>235280</v>
      </c>
      <c r="G921">
        <v>0</v>
      </c>
    </row>
    <row r="922" spans="1:7" x14ac:dyDescent="0.25">
      <c r="A922" s="5">
        <v>43493</v>
      </c>
      <c r="B922" s="4" t="s">
        <v>75</v>
      </c>
      <c r="C922" s="4" t="s">
        <v>72</v>
      </c>
      <c r="D922" s="4" t="s">
        <v>57</v>
      </c>
      <c r="E922">
        <v>233</v>
      </c>
      <c r="F922">
        <v>116400</v>
      </c>
      <c r="G922">
        <v>50135</v>
      </c>
    </row>
    <row r="923" spans="1:7" x14ac:dyDescent="0.25">
      <c r="A923" s="5">
        <v>43468</v>
      </c>
      <c r="B923" s="4" t="s">
        <v>75</v>
      </c>
      <c r="C923" s="4" t="s">
        <v>72</v>
      </c>
      <c r="D923" s="4" t="s">
        <v>63</v>
      </c>
      <c r="E923">
        <v>743</v>
      </c>
      <c r="F923">
        <v>371700</v>
      </c>
      <c r="G923">
        <v>33500</v>
      </c>
    </row>
    <row r="924" spans="1:7" x14ac:dyDescent="0.25">
      <c r="A924" s="5">
        <v>43475</v>
      </c>
      <c r="B924" s="4" t="s">
        <v>75</v>
      </c>
      <c r="C924" s="4" t="s">
        <v>72</v>
      </c>
      <c r="D924" s="4" t="s">
        <v>63</v>
      </c>
      <c r="E924">
        <v>10</v>
      </c>
      <c r="F924">
        <v>5120</v>
      </c>
      <c r="G924">
        <v>0</v>
      </c>
    </row>
    <row r="925" spans="1:7" x14ac:dyDescent="0.25">
      <c r="A925" s="5">
        <v>43481</v>
      </c>
      <c r="B925" s="4" t="s">
        <v>75</v>
      </c>
      <c r="C925" s="4" t="s">
        <v>72</v>
      </c>
      <c r="D925" s="4" t="s">
        <v>63</v>
      </c>
      <c r="E925">
        <v>22</v>
      </c>
      <c r="F925">
        <v>11160</v>
      </c>
      <c r="G925">
        <v>25000</v>
      </c>
    </row>
    <row r="926" spans="1:7" x14ac:dyDescent="0.25">
      <c r="A926" s="5">
        <v>43475</v>
      </c>
      <c r="B926" s="4" t="s">
        <v>75</v>
      </c>
      <c r="C926" s="4" t="s">
        <v>72</v>
      </c>
      <c r="D926" s="4" t="s">
        <v>60</v>
      </c>
      <c r="E926">
        <v>49</v>
      </c>
      <c r="F926">
        <v>24600</v>
      </c>
      <c r="G926">
        <v>600</v>
      </c>
    </row>
    <row r="927" spans="1:7" x14ac:dyDescent="0.25">
      <c r="A927" s="5">
        <v>43468</v>
      </c>
      <c r="B927" s="4" t="s">
        <v>75</v>
      </c>
      <c r="C927" s="4" t="s">
        <v>72</v>
      </c>
      <c r="D927" s="4" t="s">
        <v>56</v>
      </c>
      <c r="E927">
        <v>49</v>
      </c>
      <c r="F927">
        <v>24680</v>
      </c>
      <c r="G927">
        <v>24680</v>
      </c>
    </row>
    <row r="928" spans="1:7" x14ac:dyDescent="0.25">
      <c r="A928" s="5">
        <v>43467</v>
      </c>
      <c r="B928" s="4" t="s">
        <v>75</v>
      </c>
      <c r="C928" s="4" t="s">
        <v>72</v>
      </c>
      <c r="D928" s="4" t="s">
        <v>56</v>
      </c>
      <c r="E928">
        <v>25</v>
      </c>
      <c r="F928">
        <v>12640</v>
      </c>
      <c r="G928">
        <v>0</v>
      </c>
    </row>
    <row r="929" spans="1:7" x14ac:dyDescent="0.25">
      <c r="A929" s="5">
        <v>43468</v>
      </c>
      <c r="B929" s="4" t="s">
        <v>75</v>
      </c>
      <c r="C929" s="4" t="s">
        <v>72</v>
      </c>
      <c r="D929" s="4" t="s">
        <v>56</v>
      </c>
      <c r="E929">
        <v>96</v>
      </c>
      <c r="F929">
        <v>47900</v>
      </c>
      <c r="G929">
        <v>12640</v>
      </c>
    </row>
    <row r="930" spans="1:7" x14ac:dyDescent="0.25">
      <c r="A930" s="5">
        <v>43477</v>
      </c>
      <c r="B930" s="4" t="s">
        <v>75</v>
      </c>
      <c r="C930" s="4" t="s">
        <v>72</v>
      </c>
      <c r="D930" s="4" t="s">
        <v>56</v>
      </c>
      <c r="E930">
        <v>102</v>
      </c>
      <c r="F930">
        <v>51245</v>
      </c>
      <c r="G930">
        <v>16245</v>
      </c>
    </row>
    <row r="931" spans="1:7" x14ac:dyDescent="0.25">
      <c r="A931" s="5">
        <v>43478</v>
      </c>
      <c r="B931" s="4" t="s">
        <v>75</v>
      </c>
      <c r="C931" s="4" t="s">
        <v>72</v>
      </c>
      <c r="D931" s="4" t="s">
        <v>56</v>
      </c>
      <c r="E931">
        <v>28</v>
      </c>
      <c r="F931">
        <v>13800</v>
      </c>
      <c r="G931">
        <v>0</v>
      </c>
    </row>
    <row r="932" spans="1:7" x14ac:dyDescent="0.25">
      <c r="A932" s="5">
        <v>43471</v>
      </c>
      <c r="B932" s="4" t="s">
        <v>75</v>
      </c>
      <c r="C932" s="4" t="s">
        <v>72</v>
      </c>
      <c r="D932" s="4" t="s">
        <v>53</v>
      </c>
      <c r="E932">
        <v>47</v>
      </c>
      <c r="F932">
        <v>23370</v>
      </c>
      <c r="G932">
        <v>370</v>
      </c>
    </row>
    <row r="933" spans="1:7" x14ac:dyDescent="0.25">
      <c r="A933" s="5">
        <v>43468</v>
      </c>
      <c r="B933" s="4" t="s">
        <v>75</v>
      </c>
      <c r="C933" s="4" t="s">
        <v>72</v>
      </c>
      <c r="D933" s="4" t="s">
        <v>53</v>
      </c>
      <c r="E933">
        <v>56</v>
      </c>
      <c r="F933">
        <v>27795</v>
      </c>
      <c r="G933">
        <v>0</v>
      </c>
    </row>
    <row r="934" spans="1:7" x14ac:dyDescent="0.25">
      <c r="A934" s="5">
        <v>43485</v>
      </c>
      <c r="B934" s="4" t="s">
        <v>75</v>
      </c>
      <c r="C934" s="4" t="s">
        <v>72</v>
      </c>
      <c r="D934" s="4" t="s">
        <v>53</v>
      </c>
      <c r="E934">
        <v>96</v>
      </c>
      <c r="F934">
        <v>48200</v>
      </c>
      <c r="G934">
        <v>49700</v>
      </c>
    </row>
    <row r="935" spans="1:7" x14ac:dyDescent="0.25">
      <c r="A935" s="5">
        <v>43489</v>
      </c>
      <c r="B935" s="4" t="s">
        <v>75</v>
      </c>
      <c r="C935" s="4" t="s">
        <v>72</v>
      </c>
      <c r="D935" s="4" t="s">
        <v>53</v>
      </c>
      <c r="E935">
        <v>202</v>
      </c>
      <c r="F935">
        <v>101200</v>
      </c>
      <c r="G935">
        <v>5000</v>
      </c>
    </row>
    <row r="936" spans="1:7" x14ac:dyDescent="0.25">
      <c r="A936" s="5">
        <v>43493</v>
      </c>
      <c r="B936" s="4" t="s">
        <v>75</v>
      </c>
      <c r="C936" s="4" t="s">
        <v>72</v>
      </c>
      <c r="D936" s="4" t="s">
        <v>53</v>
      </c>
      <c r="E936">
        <v>149</v>
      </c>
      <c r="F936">
        <v>74405</v>
      </c>
      <c r="G936">
        <v>20295</v>
      </c>
    </row>
    <row r="937" spans="1:7" x14ac:dyDescent="0.25">
      <c r="A937" s="5">
        <v>43482</v>
      </c>
      <c r="B937" s="4" t="s">
        <v>75</v>
      </c>
      <c r="C937" s="4" t="s">
        <v>72</v>
      </c>
      <c r="D937" s="4" t="s">
        <v>60</v>
      </c>
      <c r="E937">
        <v>882</v>
      </c>
      <c r="F937">
        <v>441190</v>
      </c>
      <c r="G937">
        <v>0</v>
      </c>
    </row>
    <row r="938" spans="1:7" x14ac:dyDescent="0.25">
      <c r="A938" s="5">
        <v>43484</v>
      </c>
      <c r="B938" s="4" t="s">
        <v>75</v>
      </c>
      <c r="C938" s="4" t="s">
        <v>72</v>
      </c>
      <c r="D938" s="4" t="s">
        <v>60</v>
      </c>
      <c r="E938">
        <v>45</v>
      </c>
      <c r="F938">
        <v>22580</v>
      </c>
      <c r="G938">
        <v>12580</v>
      </c>
    </row>
    <row r="939" spans="1:7" x14ac:dyDescent="0.25">
      <c r="A939" s="5">
        <v>43492</v>
      </c>
      <c r="B939" s="4" t="s">
        <v>75</v>
      </c>
      <c r="C939" s="4" t="s">
        <v>72</v>
      </c>
      <c r="D939" s="4" t="s">
        <v>60</v>
      </c>
      <c r="E939">
        <v>59</v>
      </c>
      <c r="F939">
        <v>29680</v>
      </c>
      <c r="G939">
        <v>0</v>
      </c>
    </row>
    <row r="940" spans="1:7" x14ac:dyDescent="0.25">
      <c r="A940" s="5">
        <v>43483</v>
      </c>
      <c r="B940" s="4" t="s">
        <v>75</v>
      </c>
      <c r="C940" s="4" t="s">
        <v>72</v>
      </c>
      <c r="D940" s="4" t="s">
        <v>55</v>
      </c>
      <c r="E940">
        <v>100</v>
      </c>
      <c r="F940">
        <v>49860</v>
      </c>
      <c r="G940">
        <v>28000</v>
      </c>
    </row>
    <row r="941" spans="1:7" x14ac:dyDescent="0.25">
      <c r="A941" s="5">
        <v>43472</v>
      </c>
      <c r="B941" s="4" t="s">
        <v>75</v>
      </c>
      <c r="C941" s="4" t="s">
        <v>72</v>
      </c>
      <c r="D941" s="4" t="s">
        <v>61</v>
      </c>
      <c r="E941">
        <v>414</v>
      </c>
      <c r="F941">
        <v>207120</v>
      </c>
      <c r="G941">
        <v>0</v>
      </c>
    </row>
    <row r="942" spans="1:7" x14ac:dyDescent="0.25">
      <c r="A942" s="5">
        <v>43491</v>
      </c>
      <c r="B942" s="4" t="s">
        <v>75</v>
      </c>
      <c r="C942" s="4" t="s">
        <v>72</v>
      </c>
      <c r="D942" s="4" t="s">
        <v>61</v>
      </c>
      <c r="E942">
        <v>18</v>
      </c>
      <c r="F942">
        <v>8880</v>
      </c>
      <c r="G942">
        <v>25000</v>
      </c>
    </row>
    <row r="943" spans="1:7" x14ac:dyDescent="0.25">
      <c r="A943" s="5">
        <v>43471</v>
      </c>
      <c r="B943" s="4" t="s">
        <v>75</v>
      </c>
      <c r="C943" s="4" t="s">
        <v>72</v>
      </c>
      <c r="D943" s="4" t="s">
        <v>62</v>
      </c>
      <c r="E943">
        <v>288</v>
      </c>
      <c r="F943">
        <v>143810</v>
      </c>
      <c r="G943">
        <v>100000</v>
      </c>
    </row>
    <row r="944" spans="1:7" x14ac:dyDescent="0.25">
      <c r="A944" s="5">
        <v>43476</v>
      </c>
      <c r="B944" s="4" t="s">
        <v>75</v>
      </c>
      <c r="C944" s="4" t="s">
        <v>73</v>
      </c>
      <c r="D944" s="4" t="s">
        <v>57</v>
      </c>
      <c r="E944">
        <v>1091</v>
      </c>
      <c r="F944">
        <v>545300</v>
      </c>
      <c r="G944">
        <v>100000</v>
      </c>
    </row>
    <row r="945" spans="1:7" x14ac:dyDescent="0.25">
      <c r="A945" s="5">
        <v>43483</v>
      </c>
      <c r="B945" s="4" t="s">
        <v>75</v>
      </c>
      <c r="C945" s="4" t="s">
        <v>73</v>
      </c>
      <c r="D945" s="4" t="s">
        <v>57</v>
      </c>
      <c r="E945">
        <v>1646</v>
      </c>
      <c r="F945">
        <v>822805</v>
      </c>
      <c r="G945">
        <v>600000</v>
      </c>
    </row>
    <row r="946" spans="1:7" x14ac:dyDescent="0.25">
      <c r="A946" s="5">
        <v>43490</v>
      </c>
      <c r="B946" s="4" t="s">
        <v>75</v>
      </c>
      <c r="C946" s="4" t="s">
        <v>73</v>
      </c>
      <c r="D946" s="4" t="s">
        <v>57</v>
      </c>
      <c r="E946">
        <v>858</v>
      </c>
      <c r="F946">
        <v>428815</v>
      </c>
      <c r="G946">
        <v>1155000</v>
      </c>
    </row>
    <row r="947" spans="1:7" x14ac:dyDescent="0.25">
      <c r="A947" s="5">
        <v>43469</v>
      </c>
      <c r="B947" s="4" t="s">
        <v>75</v>
      </c>
      <c r="C947" s="4" t="s">
        <v>73</v>
      </c>
      <c r="D947" s="4" t="s">
        <v>64</v>
      </c>
      <c r="E947">
        <v>696</v>
      </c>
      <c r="F947">
        <v>347895</v>
      </c>
      <c r="G947">
        <v>0</v>
      </c>
    </row>
    <row r="948" spans="1:7" x14ac:dyDescent="0.25">
      <c r="A948" s="5">
        <v>43483</v>
      </c>
      <c r="B948" s="4" t="s">
        <v>75</v>
      </c>
      <c r="C948" s="4" t="s">
        <v>73</v>
      </c>
      <c r="D948" s="4" t="s">
        <v>64</v>
      </c>
      <c r="E948">
        <v>260</v>
      </c>
      <c r="F948">
        <v>129945</v>
      </c>
      <c r="G948">
        <v>0</v>
      </c>
    </row>
    <row r="949" spans="1:7" x14ac:dyDescent="0.25">
      <c r="A949" s="5">
        <v>43490</v>
      </c>
      <c r="B949" s="4" t="s">
        <v>75</v>
      </c>
      <c r="C949" s="4" t="s">
        <v>73</v>
      </c>
      <c r="D949" s="4" t="s">
        <v>64</v>
      </c>
      <c r="E949">
        <v>390</v>
      </c>
      <c r="F949">
        <v>195020</v>
      </c>
      <c r="G949">
        <v>100000</v>
      </c>
    </row>
    <row r="950" spans="1:7" x14ac:dyDescent="0.25">
      <c r="A950" s="5">
        <v>43469</v>
      </c>
      <c r="B950" s="4" t="s">
        <v>75</v>
      </c>
      <c r="C950" s="4" t="s">
        <v>73</v>
      </c>
      <c r="D950" s="4" t="s">
        <v>70</v>
      </c>
      <c r="E950">
        <v>22</v>
      </c>
      <c r="F950">
        <v>11080</v>
      </c>
      <c r="G950">
        <v>0</v>
      </c>
    </row>
    <row r="951" spans="1:7" x14ac:dyDescent="0.25">
      <c r="A951" s="5">
        <v>43476</v>
      </c>
      <c r="B951" s="4" t="s">
        <v>75</v>
      </c>
      <c r="C951" s="4" t="s">
        <v>73</v>
      </c>
      <c r="D951" s="4" t="s">
        <v>70</v>
      </c>
      <c r="E951">
        <v>20</v>
      </c>
      <c r="F951">
        <v>10215</v>
      </c>
      <c r="G951">
        <v>5000</v>
      </c>
    </row>
    <row r="952" spans="1:7" x14ac:dyDescent="0.25">
      <c r="A952" s="5">
        <v>43483</v>
      </c>
      <c r="B952" s="4" t="s">
        <v>75</v>
      </c>
      <c r="C952" s="4" t="s">
        <v>73</v>
      </c>
      <c r="D952" s="4" t="s">
        <v>70</v>
      </c>
      <c r="E952">
        <v>37</v>
      </c>
      <c r="F952">
        <v>18715</v>
      </c>
      <c r="G952">
        <v>10000</v>
      </c>
    </row>
    <row r="953" spans="1:7" x14ac:dyDescent="0.25">
      <c r="A953" s="5">
        <v>43469</v>
      </c>
      <c r="B953" s="4" t="s">
        <v>75</v>
      </c>
      <c r="C953" s="4" t="s">
        <v>73</v>
      </c>
      <c r="D953" s="4" t="s">
        <v>67</v>
      </c>
      <c r="E953">
        <v>108</v>
      </c>
      <c r="F953">
        <v>54000</v>
      </c>
      <c r="G953">
        <v>0</v>
      </c>
    </row>
    <row r="954" spans="1:7" x14ac:dyDescent="0.25">
      <c r="A954" s="5">
        <v>43476</v>
      </c>
      <c r="B954" s="4" t="s">
        <v>75</v>
      </c>
      <c r="C954" s="4" t="s">
        <v>73</v>
      </c>
      <c r="D954" s="4" t="s">
        <v>67</v>
      </c>
      <c r="E954">
        <v>607</v>
      </c>
      <c r="F954">
        <v>303690</v>
      </c>
      <c r="G954">
        <v>0</v>
      </c>
    </row>
    <row r="955" spans="1:7" x14ac:dyDescent="0.25">
      <c r="A955" s="5">
        <v>43469</v>
      </c>
      <c r="B955" s="4" t="s">
        <v>75</v>
      </c>
      <c r="C955" s="4" t="s">
        <v>73</v>
      </c>
      <c r="D955" s="4" t="s">
        <v>71</v>
      </c>
      <c r="E955">
        <v>527</v>
      </c>
      <c r="F955">
        <v>263380</v>
      </c>
      <c r="G955">
        <v>0</v>
      </c>
    </row>
    <row r="956" spans="1:7" x14ac:dyDescent="0.25">
      <c r="A956" s="5">
        <v>43476</v>
      </c>
      <c r="B956" s="4" t="s">
        <v>75</v>
      </c>
      <c r="C956" s="4" t="s">
        <v>73</v>
      </c>
      <c r="D956" s="4" t="s">
        <v>71</v>
      </c>
      <c r="E956">
        <v>688</v>
      </c>
      <c r="F956">
        <v>343865</v>
      </c>
      <c r="G956">
        <v>0</v>
      </c>
    </row>
    <row r="957" spans="1:7" x14ac:dyDescent="0.25">
      <c r="A957" s="5">
        <v>43483</v>
      </c>
      <c r="B957" s="4" t="s">
        <v>75</v>
      </c>
      <c r="C957" s="4" t="s">
        <v>73</v>
      </c>
      <c r="D957" s="4" t="s">
        <v>71</v>
      </c>
      <c r="E957">
        <v>218</v>
      </c>
      <c r="F957">
        <v>108875</v>
      </c>
      <c r="G957">
        <v>30000</v>
      </c>
    </row>
    <row r="958" spans="1:7" x14ac:dyDescent="0.25">
      <c r="A958" s="5">
        <v>43476</v>
      </c>
      <c r="B958" s="4" t="s">
        <v>75</v>
      </c>
      <c r="C958" s="4" t="s">
        <v>73</v>
      </c>
      <c r="D958" s="4" t="s">
        <v>56</v>
      </c>
      <c r="E958">
        <v>272</v>
      </c>
      <c r="F958">
        <v>136250</v>
      </c>
      <c r="G958">
        <v>0</v>
      </c>
    </row>
    <row r="959" spans="1:7" x14ac:dyDescent="0.25">
      <c r="A959" s="5">
        <v>43483</v>
      </c>
      <c r="B959" s="4" t="s">
        <v>75</v>
      </c>
      <c r="C959" s="4" t="s">
        <v>73</v>
      </c>
      <c r="D959" s="4" t="s">
        <v>56</v>
      </c>
      <c r="E959">
        <v>324</v>
      </c>
      <c r="F959">
        <v>161870</v>
      </c>
      <c r="G959">
        <v>20000</v>
      </c>
    </row>
    <row r="960" spans="1:7" x14ac:dyDescent="0.25">
      <c r="A960" s="5">
        <v>43469</v>
      </c>
      <c r="B960" s="4" t="s">
        <v>75</v>
      </c>
      <c r="C960" s="4" t="s">
        <v>73</v>
      </c>
      <c r="D960" s="4" t="s">
        <v>55</v>
      </c>
      <c r="E960">
        <v>380</v>
      </c>
      <c r="F960">
        <v>190040</v>
      </c>
      <c r="G960">
        <v>0</v>
      </c>
    </row>
    <row r="961" spans="1:7" x14ac:dyDescent="0.25">
      <c r="A961" s="5">
        <v>43469</v>
      </c>
      <c r="B961" s="4" t="s">
        <v>75</v>
      </c>
      <c r="C961" s="4" t="s">
        <v>73</v>
      </c>
      <c r="D961" s="4" t="s">
        <v>64</v>
      </c>
      <c r="E961">
        <v>8821</v>
      </c>
      <c r="F961">
        <v>4410350</v>
      </c>
      <c r="G961">
        <v>3000</v>
      </c>
    </row>
    <row r="962" spans="1:7" x14ac:dyDescent="0.25">
      <c r="A962" s="5">
        <v>43476</v>
      </c>
      <c r="B962" s="4" t="s">
        <v>75</v>
      </c>
      <c r="C962" s="4" t="s">
        <v>73</v>
      </c>
      <c r="D962" s="4" t="s">
        <v>64</v>
      </c>
      <c r="E962">
        <v>1747</v>
      </c>
      <c r="F962">
        <v>873575</v>
      </c>
      <c r="G962">
        <v>120000</v>
      </c>
    </row>
    <row r="963" spans="1:7" x14ac:dyDescent="0.25">
      <c r="A963" s="5">
        <v>43483</v>
      </c>
      <c r="B963" s="4" t="s">
        <v>75</v>
      </c>
      <c r="C963" s="4" t="s">
        <v>73</v>
      </c>
      <c r="D963" s="4" t="s">
        <v>64</v>
      </c>
      <c r="E963">
        <v>5492</v>
      </c>
      <c r="F963">
        <v>2745795</v>
      </c>
      <c r="G963">
        <v>0</v>
      </c>
    </row>
    <row r="964" spans="1:7" x14ac:dyDescent="0.25">
      <c r="A964" s="5">
        <v>43490</v>
      </c>
      <c r="B964" s="4" t="s">
        <v>75</v>
      </c>
      <c r="C964" s="4" t="s">
        <v>73</v>
      </c>
      <c r="D964" s="4" t="s">
        <v>64</v>
      </c>
      <c r="E964">
        <v>1303</v>
      </c>
      <c r="F964">
        <v>651300</v>
      </c>
      <c r="G964">
        <v>860000</v>
      </c>
    </row>
    <row r="965" spans="1:7" x14ac:dyDescent="0.25">
      <c r="A965" s="5">
        <v>43483</v>
      </c>
      <c r="B965" s="4" t="s">
        <v>75</v>
      </c>
      <c r="C965" s="4" t="s">
        <v>73</v>
      </c>
      <c r="D965" s="4" t="s">
        <v>67</v>
      </c>
      <c r="E965">
        <v>37</v>
      </c>
      <c r="F965">
        <v>18260</v>
      </c>
      <c r="G965">
        <v>0</v>
      </c>
    </row>
    <row r="966" spans="1:7" x14ac:dyDescent="0.25">
      <c r="A966" s="5">
        <v>43483</v>
      </c>
      <c r="B966" s="4" t="s">
        <v>75</v>
      </c>
      <c r="C966" s="4" t="s">
        <v>73</v>
      </c>
      <c r="D966" s="4" t="s">
        <v>57</v>
      </c>
      <c r="E966">
        <v>172</v>
      </c>
      <c r="F966">
        <v>86210</v>
      </c>
      <c r="G966">
        <v>50000</v>
      </c>
    </row>
    <row r="967" spans="1:7" x14ac:dyDescent="0.25">
      <c r="A967" s="5">
        <v>43476</v>
      </c>
      <c r="B967" s="4" t="s">
        <v>75</v>
      </c>
      <c r="C967" s="4" t="s">
        <v>73</v>
      </c>
      <c r="D967" s="4" t="s">
        <v>61</v>
      </c>
      <c r="E967">
        <v>905</v>
      </c>
      <c r="F967">
        <v>452400</v>
      </c>
      <c r="G967">
        <v>0</v>
      </c>
    </row>
    <row r="968" spans="1:7" x14ac:dyDescent="0.25">
      <c r="A968" s="5">
        <v>43483</v>
      </c>
      <c r="B968" s="4" t="s">
        <v>75</v>
      </c>
      <c r="C968" s="4" t="s">
        <v>73</v>
      </c>
      <c r="D968" s="4" t="s">
        <v>61</v>
      </c>
      <c r="E968">
        <v>55</v>
      </c>
      <c r="F968">
        <v>27400</v>
      </c>
      <c r="G968">
        <v>77000</v>
      </c>
    </row>
    <row r="969" spans="1:7" x14ac:dyDescent="0.25">
      <c r="A969" s="5">
        <v>43469</v>
      </c>
      <c r="B969" s="4" t="s">
        <v>75</v>
      </c>
      <c r="C969" s="4" t="s">
        <v>73</v>
      </c>
      <c r="D969" s="4" t="s">
        <v>65</v>
      </c>
      <c r="E969">
        <v>27</v>
      </c>
      <c r="F969">
        <v>13470</v>
      </c>
      <c r="G969">
        <v>1500</v>
      </c>
    </row>
    <row r="970" spans="1:7" x14ac:dyDescent="0.25">
      <c r="A970" s="5">
        <v>43469</v>
      </c>
      <c r="B970" s="4" t="s">
        <v>75</v>
      </c>
      <c r="C970" s="4" t="s">
        <v>73</v>
      </c>
      <c r="D970" s="4" t="s">
        <v>54</v>
      </c>
      <c r="E970">
        <v>945</v>
      </c>
      <c r="F970">
        <v>472520</v>
      </c>
      <c r="G970">
        <v>0</v>
      </c>
    </row>
    <row r="971" spans="1:7" x14ac:dyDescent="0.25">
      <c r="A971" s="5">
        <v>43476</v>
      </c>
      <c r="B971" s="4" t="s">
        <v>75</v>
      </c>
      <c r="C971" s="4" t="s">
        <v>73</v>
      </c>
      <c r="D971" s="4" t="s">
        <v>54</v>
      </c>
      <c r="E971">
        <v>1379</v>
      </c>
      <c r="F971">
        <v>689560</v>
      </c>
      <c r="G971">
        <v>10000</v>
      </c>
    </row>
    <row r="972" spans="1:7" x14ac:dyDescent="0.25">
      <c r="A972" s="5">
        <v>43483</v>
      </c>
      <c r="B972" s="4" t="s">
        <v>75</v>
      </c>
      <c r="C972" s="4" t="s">
        <v>73</v>
      </c>
      <c r="D972" s="4" t="s">
        <v>54</v>
      </c>
      <c r="E972">
        <v>635</v>
      </c>
      <c r="F972">
        <v>317570</v>
      </c>
      <c r="G972">
        <v>71450</v>
      </c>
    </row>
    <row r="973" spans="1:7" x14ac:dyDescent="0.25">
      <c r="A973" s="5">
        <v>43490</v>
      </c>
      <c r="B973" s="4" t="s">
        <v>75</v>
      </c>
      <c r="C973" s="4" t="s">
        <v>73</v>
      </c>
      <c r="D973" s="4" t="s">
        <v>54</v>
      </c>
      <c r="E973">
        <v>202</v>
      </c>
      <c r="F973">
        <v>101000</v>
      </c>
      <c r="G973">
        <v>6120</v>
      </c>
    </row>
    <row r="974" spans="1:7" x14ac:dyDescent="0.25">
      <c r="A974" s="5">
        <v>43469</v>
      </c>
      <c r="B974" s="4" t="s">
        <v>75</v>
      </c>
      <c r="C974" s="4" t="s">
        <v>73</v>
      </c>
      <c r="D974" s="4" t="s">
        <v>55</v>
      </c>
      <c r="E974">
        <v>250</v>
      </c>
      <c r="F974">
        <v>125045</v>
      </c>
      <c r="G974">
        <v>0</v>
      </c>
    </row>
    <row r="975" spans="1:7" x14ac:dyDescent="0.25">
      <c r="A975" s="5">
        <v>43476</v>
      </c>
      <c r="B975" s="4" t="s">
        <v>75</v>
      </c>
      <c r="C975" s="4" t="s">
        <v>73</v>
      </c>
      <c r="D975" s="4" t="s">
        <v>55</v>
      </c>
      <c r="E975">
        <v>339</v>
      </c>
      <c r="F975">
        <v>169670</v>
      </c>
      <c r="G975">
        <v>0</v>
      </c>
    </row>
    <row r="976" spans="1:7" x14ac:dyDescent="0.25">
      <c r="A976" s="5">
        <v>43483</v>
      </c>
      <c r="B976" s="4" t="s">
        <v>75</v>
      </c>
      <c r="C976" s="4" t="s">
        <v>73</v>
      </c>
      <c r="D976" s="4" t="s">
        <v>55</v>
      </c>
      <c r="E976">
        <v>389</v>
      </c>
      <c r="F976">
        <v>194700</v>
      </c>
      <c r="G976">
        <v>0</v>
      </c>
    </row>
    <row r="977" spans="1:7" x14ac:dyDescent="0.25">
      <c r="A977" s="5">
        <v>43490</v>
      </c>
      <c r="B977" s="4" t="s">
        <v>75</v>
      </c>
      <c r="C977" s="4" t="s">
        <v>73</v>
      </c>
      <c r="D977" s="4" t="s">
        <v>55</v>
      </c>
      <c r="E977">
        <v>256</v>
      </c>
      <c r="F977">
        <v>128240</v>
      </c>
      <c r="G977">
        <v>100000</v>
      </c>
    </row>
    <row r="978" spans="1:7" x14ac:dyDescent="0.25">
      <c r="A978" s="5">
        <v>43483</v>
      </c>
      <c r="B978" s="4" t="s">
        <v>75</v>
      </c>
      <c r="C978" s="4" t="s">
        <v>73</v>
      </c>
      <c r="D978" s="4" t="s">
        <v>69</v>
      </c>
      <c r="E978">
        <v>49</v>
      </c>
      <c r="F978">
        <v>24430</v>
      </c>
      <c r="G978">
        <v>10430</v>
      </c>
    </row>
    <row r="979" spans="1:7" x14ac:dyDescent="0.25">
      <c r="A979" s="5">
        <v>43469</v>
      </c>
      <c r="B979" s="4" t="s">
        <v>75</v>
      </c>
      <c r="C979" s="4" t="s">
        <v>73</v>
      </c>
      <c r="D979" s="4" t="s">
        <v>54</v>
      </c>
      <c r="E979">
        <v>54</v>
      </c>
      <c r="F979">
        <v>26880</v>
      </c>
      <c r="G979">
        <v>0</v>
      </c>
    </row>
    <row r="980" spans="1:7" x14ac:dyDescent="0.25">
      <c r="A980" s="5">
        <v>43476</v>
      </c>
      <c r="B980" s="4" t="s">
        <v>75</v>
      </c>
      <c r="C980" s="4" t="s">
        <v>73</v>
      </c>
      <c r="D980" s="4" t="s">
        <v>54</v>
      </c>
      <c r="E980">
        <v>345</v>
      </c>
      <c r="F980">
        <v>172720</v>
      </c>
      <c r="G980">
        <v>935</v>
      </c>
    </row>
    <row r="981" spans="1:7" x14ac:dyDescent="0.25">
      <c r="A981" s="5">
        <v>43483</v>
      </c>
      <c r="B981" s="4" t="s">
        <v>75</v>
      </c>
      <c r="C981" s="4" t="s">
        <v>73</v>
      </c>
      <c r="D981" s="4" t="s">
        <v>54</v>
      </c>
      <c r="E981">
        <v>208</v>
      </c>
      <c r="F981">
        <v>104020</v>
      </c>
      <c r="G981">
        <v>0</v>
      </c>
    </row>
    <row r="982" spans="1:7" x14ac:dyDescent="0.25">
      <c r="A982" s="5">
        <v>43469</v>
      </c>
      <c r="B982" s="4" t="s">
        <v>75</v>
      </c>
      <c r="C982" s="4" t="s">
        <v>73</v>
      </c>
      <c r="D982" s="4" t="s">
        <v>61</v>
      </c>
      <c r="E982">
        <v>573</v>
      </c>
      <c r="F982">
        <v>286610</v>
      </c>
      <c r="G982">
        <v>0</v>
      </c>
    </row>
    <row r="983" spans="1:7" x14ac:dyDescent="0.25">
      <c r="A983" s="5">
        <v>43476</v>
      </c>
      <c r="B983" s="4" t="s">
        <v>75</v>
      </c>
      <c r="C983" s="4" t="s">
        <v>73</v>
      </c>
      <c r="D983" s="4" t="s">
        <v>61</v>
      </c>
      <c r="E983">
        <v>428</v>
      </c>
      <c r="F983">
        <v>213870</v>
      </c>
      <c r="G983">
        <v>71430</v>
      </c>
    </row>
    <row r="984" spans="1:7" x14ac:dyDescent="0.25">
      <c r="A984" s="5">
        <v>43483</v>
      </c>
      <c r="B984" s="4" t="s">
        <v>75</v>
      </c>
      <c r="C984" s="4" t="s">
        <v>73</v>
      </c>
      <c r="D984" s="4" t="s">
        <v>61</v>
      </c>
      <c r="E984">
        <v>78</v>
      </c>
      <c r="F984">
        <v>38825</v>
      </c>
      <c r="G984">
        <v>49340</v>
      </c>
    </row>
    <row r="985" spans="1:7" x14ac:dyDescent="0.25">
      <c r="A985" s="5">
        <v>43490</v>
      </c>
      <c r="B985" s="4" t="s">
        <v>75</v>
      </c>
      <c r="C985" s="4" t="s">
        <v>73</v>
      </c>
      <c r="D985" s="4" t="s">
        <v>61</v>
      </c>
      <c r="E985">
        <v>193</v>
      </c>
      <c r="F985">
        <v>96525</v>
      </c>
      <c r="G985">
        <v>68000</v>
      </c>
    </row>
    <row r="986" spans="1:7" x14ac:dyDescent="0.25">
      <c r="A986" s="5">
        <v>43469</v>
      </c>
      <c r="B986" s="4" t="s">
        <v>75</v>
      </c>
      <c r="C986" s="4" t="s">
        <v>73</v>
      </c>
      <c r="D986" s="4" t="s">
        <v>54</v>
      </c>
      <c r="E986">
        <v>1891</v>
      </c>
      <c r="F986">
        <v>945670</v>
      </c>
      <c r="G986">
        <v>0</v>
      </c>
    </row>
    <row r="987" spans="1:7" x14ac:dyDescent="0.25">
      <c r="A987" s="5">
        <v>43483</v>
      </c>
      <c r="B987" s="4" t="s">
        <v>75</v>
      </c>
      <c r="C987" s="4" t="s">
        <v>73</v>
      </c>
      <c r="D987" s="4" t="s">
        <v>54</v>
      </c>
      <c r="E987">
        <v>90</v>
      </c>
      <c r="F987">
        <v>44895</v>
      </c>
      <c r="G987">
        <v>0</v>
      </c>
    </row>
    <row r="988" spans="1:7" x14ac:dyDescent="0.25">
      <c r="A988" s="5">
        <v>43490</v>
      </c>
      <c r="B988" s="4" t="s">
        <v>75</v>
      </c>
      <c r="C988" s="4" t="s">
        <v>73</v>
      </c>
      <c r="D988" s="4" t="s">
        <v>54</v>
      </c>
      <c r="E988">
        <v>168</v>
      </c>
      <c r="F988">
        <v>84060</v>
      </c>
      <c r="G988">
        <v>110000</v>
      </c>
    </row>
    <row r="989" spans="1:7" x14ac:dyDescent="0.25">
      <c r="A989" s="5">
        <v>43469</v>
      </c>
      <c r="B989" s="4" t="s">
        <v>75</v>
      </c>
      <c r="C989" s="4" t="s">
        <v>73</v>
      </c>
      <c r="D989" s="4" t="s">
        <v>57</v>
      </c>
      <c r="E989">
        <v>254</v>
      </c>
      <c r="F989">
        <v>126750</v>
      </c>
      <c r="G989">
        <v>0</v>
      </c>
    </row>
    <row r="990" spans="1:7" x14ac:dyDescent="0.25">
      <c r="A990" s="5">
        <v>43490</v>
      </c>
      <c r="B990" s="4" t="s">
        <v>75</v>
      </c>
      <c r="C990" s="4" t="s">
        <v>73</v>
      </c>
      <c r="D990" s="4" t="s">
        <v>57</v>
      </c>
      <c r="E990">
        <v>361</v>
      </c>
      <c r="F990">
        <v>180290</v>
      </c>
      <c r="G990">
        <v>0</v>
      </c>
    </row>
    <row r="991" spans="1:7" x14ac:dyDescent="0.25">
      <c r="A991" s="5">
        <v>43469</v>
      </c>
      <c r="B991" s="4" t="s">
        <v>75</v>
      </c>
      <c r="C991" s="4" t="s">
        <v>73</v>
      </c>
      <c r="D991" s="4" t="s">
        <v>58</v>
      </c>
      <c r="E991">
        <v>78</v>
      </c>
      <c r="F991">
        <v>38825</v>
      </c>
      <c r="G991">
        <v>2000</v>
      </c>
    </row>
    <row r="992" spans="1:7" x14ac:dyDescent="0.25">
      <c r="A992" s="5">
        <v>43483</v>
      </c>
      <c r="B992" s="4" t="s">
        <v>75</v>
      </c>
      <c r="C992" s="4" t="s">
        <v>73</v>
      </c>
      <c r="D992" s="4" t="s">
        <v>58</v>
      </c>
      <c r="E992">
        <v>106</v>
      </c>
      <c r="F992">
        <v>52800</v>
      </c>
      <c r="G992">
        <v>12000</v>
      </c>
    </row>
    <row r="993" spans="1:7" x14ac:dyDescent="0.25">
      <c r="A993" s="5">
        <v>43469</v>
      </c>
      <c r="B993" s="4" t="s">
        <v>75</v>
      </c>
      <c r="C993" s="4" t="s">
        <v>73</v>
      </c>
      <c r="D993" s="4" t="s">
        <v>62</v>
      </c>
      <c r="E993">
        <v>481</v>
      </c>
      <c r="F993">
        <v>240360</v>
      </c>
      <c r="G993">
        <v>0</v>
      </c>
    </row>
    <row r="994" spans="1:7" x14ac:dyDescent="0.25">
      <c r="A994" s="5">
        <v>43476</v>
      </c>
      <c r="B994" s="4" t="s">
        <v>75</v>
      </c>
      <c r="C994" s="4" t="s">
        <v>73</v>
      </c>
      <c r="D994" s="4" t="s">
        <v>62</v>
      </c>
      <c r="E994">
        <v>169</v>
      </c>
      <c r="F994">
        <v>84720</v>
      </c>
      <c r="G994">
        <v>0</v>
      </c>
    </row>
    <row r="995" spans="1:7" x14ac:dyDescent="0.25">
      <c r="A995" s="5">
        <v>43483</v>
      </c>
      <c r="B995" s="4" t="s">
        <v>75</v>
      </c>
      <c r="C995" s="4" t="s">
        <v>73</v>
      </c>
      <c r="D995" s="4" t="s">
        <v>62</v>
      </c>
      <c r="E995">
        <v>327</v>
      </c>
      <c r="F995">
        <v>163560</v>
      </c>
      <c r="G995">
        <v>0</v>
      </c>
    </row>
    <row r="996" spans="1:7" x14ac:dyDescent="0.25">
      <c r="A996" s="5">
        <v>43483</v>
      </c>
      <c r="B996" s="4" t="s">
        <v>75</v>
      </c>
      <c r="C996" s="4" t="s">
        <v>73</v>
      </c>
      <c r="D996" s="4" t="s">
        <v>61</v>
      </c>
      <c r="E996">
        <v>294</v>
      </c>
      <c r="F996">
        <v>146775</v>
      </c>
      <c r="G996">
        <v>0</v>
      </c>
    </row>
    <row r="997" spans="1:7" x14ac:dyDescent="0.25">
      <c r="A997" s="5">
        <v>43469</v>
      </c>
      <c r="B997" s="4" t="s">
        <v>75</v>
      </c>
      <c r="C997" s="4" t="s">
        <v>73</v>
      </c>
      <c r="D997" s="4" t="s">
        <v>57</v>
      </c>
      <c r="E997">
        <v>46</v>
      </c>
      <c r="F997">
        <v>23070</v>
      </c>
      <c r="G997">
        <v>0</v>
      </c>
    </row>
    <row r="998" spans="1:7" x14ac:dyDescent="0.25">
      <c r="A998" s="5">
        <v>43490</v>
      </c>
      <c r="B998" s="4" t="s">
        <v>75</v>
      </c>
      <c r="C998" s="4" t="s">
        <v>73</v>
      </c>
      <c r="D998" s="4" t="s">
        <v>57</v>
      </c>
      <c r="E998">
        <v>176</v>
      </c>
      <c r="F998">
        <v>87810</v>
      </c>
      <c r="G998">
        <v>10000</v>
      </c>
    </row>
    <row r="999" spans="1:7" x14ac:dyDescent="0.25">
      <c r="A999" s="5">
        <v>43469</v>
      </c>
      <c r="B999" s="4" t="s">
        <v>75</v>
      </c>
      <c r="C999" s="4" t="s">
        <v>73</v>
      </c>
      <c r="D999" s="4" t="s">
        <v>64</v>
      </c>
      <c r="E999">
        <v>1128</v>
      </c>
      <c r="F999">
        <v>563855</v>
      </c>
      <c r="G999">
        <v>0</v>
      </c>
    </row>
    <row r="1000" spans="1:7" x14ac:dyDescent="0.25">
      <c r="A1000" s="5">
        <v>43476</v>
      </c>
      <c r="B1000" s="4" t="s">
        <v>75</v>
      </c>
      <c r="C1000" s="4" t="s">
        <v>73</v>
      </c>
      <c r="D1000" s="4" t="s">
        <v>64</v>
      </c>
      <c r="E1000">
        <v>1531</v>
      </c>
      <c r="F1000">
        <v>765380</v>
      </c>
      <c r="G1000">
        <v>300000</v>
      </c>
    </row>
    <row r="1001" spans="1:7" x14ac:dyDescent="0.25">
      <c r="A1001" s="5">
        <v>43483</v>
      </c>
      <c r="B1001" s="4" t="s">
        <v>75</v>
      </c>
      <c r="C1001" s="4" t="s">
        <v>73</v>
      </c>
      <c r="D1001" s="4" t="s">
        <v>64</v>
      </c>
      <c r="E1001">
        <v>675</v>
      </c>
      <c r="F1001">
        <v>337345</v>
      </c>
      <c r="G1001">
        <v>53000</v>
      </c>
    </row>
    <row r="1002" spans="1:7" x14ac:dyDescent="0.25">
      <c r="A1002" s="5">
        <v>43490</v>
      </c>
      <c r="B1002" s="4" t="s">
        <v>75</v>
      </c>
      <c r="C1002" s="4" t="s">
        <v>73</v>
      </c>
      <c r="D1002" s="4" t="s">
        <v>64</v>
      </c>
      <c r="E1002">
        <v>1394</v>
      </c>
      <c r="F1002">
        <v>697000</v>
      </c>
      <c r="G1002">
        <v>311800</v>
      </c>
    </row>
    <row r="1003" spans="1:7" x14ac:dyDescent="0.25">
      <c r="A1003" s="5">
        <v>43476</v>
      </c>
      <c r="B1003" s="4" t="s">
        <v>75</v>
      </c>
      <c r="C1003" s="4" t="s">
        <v>73</v>
      </c>
      <c r="D1003" s="4" t="s">
        <v>63</v>
      </c>
      <c r="E1003">
        <v>61</v>
      </c>
      <c r="F1003">
        <v>30685</v>
      </c>
      <c r="G1003">
        <v>2000</v>
      </c>
    </row>
    <row r="1004" spans="1:7" x14ac:dyDescent="0.25">
      <c r="A1004" s="5">
        <v>43490</v>
      </c>
      <c r="B1004" s="4" t="s">
        <v>75</v>
      </c>
      <c r="C1004" s="4" t="s">
        <v>73</v>
      </c>
      <c r="D1004" s="4" t="s">
        <v>63</v>
      </c>
      <c r="E1004">
        <v>46</v>
      </c>
      <c r="F1004">
        <v>23145</v>
      </c>
      <c r="G1004">
        <v>8000</v>
      </c>
    </row>
    <row r="1005" spans="1:7" x14ac:dyDescent="0.25">
      <c r="A1005" s="5">
        <v>43469</v>
      </c>
      <c r="B1005" s="4" t="s">
        <v>75</v>
      </c>
      <c r="C1005" s="4" t="s">
        <v>73</v>
      </c>
      <c r="D1005" s="4" t="s">
        <v>60</v>
      </c>
      <c r="E1005">
        <v>161</v>
      </c>
      <c r="F1005">
        <v>80460</v>
      </c>
      <c r="G1005">
        <v>0</v>
      </c>
    </row>
    <row r="1006" spans="1:7" x14ac:dyDescent="0.25">
      <c r="A1006" s="5">
        <v>43476</v>
      </c>
      <c r="B1006" s="4" t="s">
        <v>75</v>
      </c>
      <c r="C1006" s="4" t="s">
        <v>73</v>
      </c>
      <c r="D1006" s="4" t="s">
        <v>56</v>
      </c>
      <c r="E1006">
        <v>421</v>
      </c>
      <c r="F1006">
        <v>210445</v>
      </c>
      <c r="G1006">
        <v>0</v>
      </c>
    </row>
    <row r="1007" spans="1:7" x14ac:dyDescent="0.25">
      <c r="A1007" s="5">
        <v>43476</v>
      </c>
      <c r="B1007" s="4" t="s">
        <v>75</v>
      </c>
      <c r="C1007" s="4" t="s">
        <v>73</v>
      </c>
      <c r="D1007" s="4" t="s">
        <v>54</v>
      </c>
      <c r="E1007">
        <v>105</v>
      </c>
      <c r="F1007">
        <v>52500</v>
      </c>
      <c r="G1007">
        <v>10000</v>
      </c>
    </row>
    <row r="1008" spans="1:7" x14ac:dyDescent="0.25">
      <c r="A1008" s="5">
        <v>43483</v>
      </c>
      <c r="B1008" s="4" t="s">
        <v>75</v>
      </c>
      <c r="C1008" s="4" t="s">
        <v>73</v>
      </c>
      <c r="D1008" s="4" t="s">
        <v>54</v>
      </c>
      <c r="E1008">
        <v>21</v>
      </c>
      <c r="F1008">
        <v>10525</v>
      </c>
      <c r="G1008">
        <v>0</v>
      </c>
    </row>
    <row r="1009" spans="1:7" x14ac:dyDescent="0.25">
      <c r="A1009" s="5">
        <v>43490</v>
      </c>
      <c r="B1009" s="4" t="s">
        <v>75</v>
      </c>
      <c r="C1009" s="4" t="s">
        <v>73</v>
      </c>
      <c r="D1009" s="4" t="s">
        <v>53</v>
      </c>
      <c r="E1009">
        <v>407</v>
      </c>
      <c r="F1009">
        <v>203400</v>
      </c>
      <c r="G1009">
        <v>0</v>
      </c>
    </row>
    <row r="1010" spans="1:7" x14ac:dyDescent="0.25">
      <c r="A1010" s="5">
        <v>43469</v>
      </c>
      <c r="B1010" s="4" t="s">
        <v>75</v>
      </c>
      <c r="C1010" s="4" t="s">
        <v>73</v>
      </c>
      <c r="D1010" s="4" t="s">
        <v>60</v>
      </c>
      <c r="E1010">
        <v>373</v>
      </c>
      <c r="F1010">
        <v>186740</v>
      </c>
      <c r="G1010">
        <v>0</v>
      </c>
    </row>
    <row r="1011" spans="1:7" x14ac:dyDescent="0.25">
      <c r="A1011" s="5">
        <v>43490</v>
      </c>
      <c r="B1011" s="4" t="s">
        <v>75</v>
      </c>
      <c r="C1011" s="4" t="s">
        <v>73</v>
      </c>
      <c r="D1011" s="4" t="s">
        <v>60</v>
      </c>
      <c r="E1011">
        <v>121</v>
      </c>
      <c r="F1011">
        <v>60275</v>
      </c>
      <c r="G1011">
        <v>40000</v>
      </c>
    </row>
    <row r="1012" spans="1:7" x14ac:dyDescent="0.25">
      <c r="A1012" s="5">
        <v>43476</v>
      </c>
      <c r="B1012" s="4" t="s">
        <v>75</v>
      </c>
      <c r="C1012" s="4" t="s">
        <v>73</v>
      </c>
      <c r="D1012" s="4" t="s">
        <v>66</v>
      </c>
      <c r="E1012">
        <v>251</v>
      </c>
      <c r="F1012">
        <v>125410</v>
      </c>
      <c r="G1012">
        <v>0</v>
      </c>
    </row>
    <row r="1013" spans="1:7" x14ac:dyDescent="0.25">
      <c r="A1013" s="5">
        <v>43483</v>
      </c>
      <c r="B1013" s="4" t="s">
        <v>75</v>
      </c>
      <c r="C1013" s="4" t="s">
        <v>73</v>
      </c>
      <c r="D1013" s="4" t="s">
        <v>66</v>
      </c>
      <c r="E1013">
        <v>370</v>
      </c>
      <c r="F1013">
        <v>185090</v>
      </c>
      <c r="G1013">
        <v>10000</v>
      </c>
    </row>
    <row r="1014" spans="1:7" x14ac:dyDescent="0.25">
      <c r="A1014" s="5">
        <v>43490</v>
      </c>
      <c r="B1014" s="4" t="s">
        <v>75</v>
      </c>
      <c r="C1014" s="4" t="s">
        <v>73</v>
      </c>
      <c r="D1014" s="4" t="s">
        <v>66</v>
      </c>
      <c r="E1014">
        <v>108</v>
      </c>
      <c r="F1014">
        <v>54185</v>
      </c>
      <c r="G1014">
        <v>40000</v>
      </c>
    </row>
    <row r="1015" spans="1:7" x14ac:dyDescent="0.25">
      <c r="A1015" s="5">
        <v>43469</v>
      </c>
      <c r="B1015" s="4" t="s">
        <v>75</v>
      </c>
      <c r="C1015" s="4" t="s">
        <v>73</v>
      </c>
      <c r="D1015" s="4" t="s">
        <v>57</v>
      </c>
      <c r="E1015">
        <v>812</v>
      </c>
      <c r="F1015">
        <v>406070</v>
      </c>
      <c r="G1015">
        <v>0</v>
      </c>
    </row>
    <row r="1016" spans="1:7" x14ac:dyDescent="0.25">
      <c r="A1016" s="5">
        <v>43476</v>
      </c>
      <c r="B1016" s="4" t="s">
        <v>75</v>
      </c>
      <c r="C1016" s="4" t="s">
        <v>73</v>
      </c>
      <c r="D1016" s="4" t="s">
        <v>57</v>
      </c>
      <c r="E1016">
        <v>92</v>
      </c>
      <c r="F1016">
        <v>46210</v>
      </c>
      <c r="G1016">
        <v>0</v>
      </c>
    </row>
    <row r="1017" spans="1:7" x14ac:dyDescent="0.25">
      <c r="A1017" s="5">
        <v>43483</v>
      </c>
      <c r="B1017" s="4" t="s">
        <v>75</v>
      </c>
      <c r="C1017" s="4" t="s">
        <v>73</v>
      </c>
      <c r="D1017" s="4" t="s">
        <v>57</v>
      </c>
      <c r="E1017">
        <v>672</v>
      </c>
      <c r="F1017">
        <v>335970</v>
      </c>
      <c r="G1017">
        <v>50000</v>
      </c>
    </row>
    <row r="1018" spans="1:7" x14ac:dyDescent="0.25">
      <c r="A1018" s="5">
        <v>43490</v>
      </c>
      <c r="B1018" s="4" t="s">
        <v>75</v>
      </c>
      <c r="C1018" s="4" t="s">
        <v>73</v>
      </c>
      <c r="D1018" s="4" t="s">
        <v>57</v>
      </c>
      <c r="E1018">
        <v>101</v>
      </c>
      <c r="F1018">
        <v>50525</v>
      </c>
      <c r="G1018">
        <v>37000</v>
      </c>
    </row>
    <row r="1019" spans="1:7" x14ac:dyDescent="0.25">
      <c r="A1019" s="5">
        <v>43469</v>
      </c>
      <c r="B1019" s="4" t="s">
        <v>75</v>
      </c>
      <c r="C1019" s="4" t="s">
        <v>73</v>
      </c>
      <c r="D1019" s="4" t="s">
        <v>54</v>
      </c>
      <c r="E1019">
        <v>255</v>
      </c>
      <c r="F1019">
        <v>127430</v>
      </c>
      <c r="G1019">
        <v>0</v>
      </c>
    </row>
    <row r="1020" spans="1:7" x14ac:dyDescent="0.25">
      <c r="A1020" s="5">
        <v>43476</v>
      </c>
      <c r="B1020" s="4" t="s">
        <v>75</v>
      </c>
      <c r="C1020" s="4" t="s">
        <v>73</v>
      </c>
      <c r="D1020" s="4" t="s">
        <v>54</v>
      </c>
      <c r="E1020">
        <v>194</v>
      </c>
      <c r="F1020">
        <v>97250</v>
      </c>
      <c r="G1020">
        <v>50000</v>
      </c>
    </row>
    <row r="1021" spans="1:7" x14ac:dyDescent="0.25">
      <c r="A1021" s="5">
        <v>43476</v>
      </c>
      <c r="B1021" s="4" t="s">
        <v>75</v>
      </c>
      <c r="C1021" s="4" t="s">
        <v>73</v>
      </c>
      <c r="D1021" s="4" t="s">
        <v>57</v>
      </c>
      <c r="E1021">
        <v>1028</v>
      </c>
      <c r="F1021">
        <v>514020</v>
      </c>
      <c r="G1021">
        <v>79000</v>
      </c>
    </row>
    <row r="1022" spans="1:7" x14ac:dyDescent="0.25">
      <c r="A1022" s="5">
        <v>43483</v>
      </c>
      <c r="B1022" s="4" t="s">
        <v>75</v>
      </c>
      <c r="C1022" s="4" t="s">
        <v>73</v>
      </c>
      <c r="D1022" s="4" t="s">
        <v>57</v>
      </c>
      <c r="E1022">
        <v>105</v>
      </c>
      <c r="F1022">
        <v>52590</v>
      </c>
      <c r="G1022">
        <v>0</v>
      </c>
    </row>
    <row r="1023" spans="1:7" x14ac:dyDescent="0.25">
      <c r="A1023" s="5">
        <v>43469</v>
      </c>
      <c r="B1023" s="4" t="s">
        <v>75</v>
      </c>
      <c r="C1023" s="4" t="s">
        <v>73</v>
      </c>
      <c r="D1023" s="4" t="s">
        <v>55</v>
      </c>
      <c r="E1023">
        <v>1950</v>
      </c>
      <c r="F1023">
        <v>974855</v>
      </c>
      <c r="G1023">
        <v>0</v>
      </c>
    </row>
    <row r="1024" spans="1:7" x14ac:dyDescent="0.25">
      <c r="A1024" s="5">
        <v>43476</v>
      </c>
      <c r="B1024" s="4" t="s">
        <v>75</v>
      </c>
      <c r="C1024" s="4" t="s">
        <v>73</v>
      </c>
      <c r="D1024" s="4" t="s">
        <v>55</v>
      </c>
      <c r="E1024">
        <v>1328</v>
      </c>
      <c r="F1024">
        <v>664230</v>
      </c>
      <c r="G1024">
        <v>400000</v>
      </c>
    </row>
    <row r="1025" spans="1:7" x14ac:dyDescent="0.25">
      <c r="A1025" s="5">
        <v>43483</v>
      </c>
      <c r="B1025" s="4" t="s">
        <v>75</v>
      </c>
      <c r="C1025" s="4" t="s">
        <v>73</v>
      </c>
      <c r="D1025" s="4" t="s">
        <v>55</v>
      </c>
      <c r="E1025">
        <v>3444</v>
      </c>
      <c r="F1025">
        <v>1722100</v>
      </c>
      <c r="G1025">
        <v>300000</v>
      </c>
    </row>
    <row r="1026" spans="1:7" x14ac:dyDescent="0.25">
      <c r="A1026" s="5">
        <v>43483</v>
      </c>
      <c r="B1026" s="4" t="s">
        <v>75</v>
      </c>
      <c r="C1026" s="4" t="s">
        <v>73</v>
      </c>
      <c r="D1026" s="4" t="s">
        <v>61</v>
      </c>
      <c r="E1026">
        <v>452</v>
      </c>
      <c r="F1026">
        <v>226230</v>
      </c>
      <c r="G1026">
        <v>30000</v>
      </c>
    </row>
    <row r="1027" spans="1:7" x14ac:dyDescent="0.25">
      <c r="A1027" s="5">
        <v>43490</v>
      </c>
      <c r="B1027" s="4" t="s">
        <v>75</v>
      </c>
      <c r="C1027" s="4" t="s">
        <v>73</v>
      </c>
      <c r="D1027" s="4" t="s">
        <v>61</v>
      </c>
      <c r="E1027">
        <v>14</v>
      </c>
      <c r="F1027">
        <v>6820</v>
      </c>
      <c r="G1027">
        <v>30000</v>
      </c>
    </row>
    <row r="1028" spans="1:7" x14ac:dyDescent="0.25">
      <c r="A1028" s="5">
        <v>43476</v>
      </c>
      <c r="B1028" s="4" t="s">
        <v>75</v>
      </c>
      <c r="C1028" s="4" t="s">
        <v>73</v>
      </c>
      <c r="D1028" s="4" t="s">
        <v>59</v>
      </c>
      <c r="E1028">
        <v>663</v>
      </c>
      <c r="F1028">
        <v>331540</v>
      </c>
      <c r="G1028">
        <v>25000</v>
      </c>
    </row>
    <row r="1029" spans="1:7" x14ac:dyDescent="0.25">
      <c r="A1029" s="5">
        <v>43490</v>
      </c>
      <c r="B1029" s="4" t="s">
        <v>75</v>
      </c>
      <c r="C1029" s="4" t="s">
        <v>73</v>
      </c>
      <c r="D1029" s="4" t="s">
        <v>59</v>
      </c>
      <c r="E1029">
        <v>575</v>
      </c>
      <c r="F1029">
        <v>287640</v>
      </c>
      <c r="G1029">
        <v>0</v>
      </c>
    </row>
    <row r="1030" spans="1:7" x14ac:dyDescent="0.25">
      <c r="A1030" s="5">
        <v>43525</v>
      </c>
      <c r="B1030" s="4" t="s">
        <v>76</v>
      </c>
      <c r="C1030" s="4" t="s">
        <v>52</v>
      </c>
      <c r="D1030" s="4" t="s">
        <v>61</v>
      </c>
      <c r="E1030">
        <v>293</v>
      </c>
      <c r="F1030">
        <v>146313</v>
      </c>
      <c r="G1030">
        <v>0</v>
      </c>
    </row>
    <row r="1031" spans="1:7" x14ac:dyDescent="0.25">
      <c r="A1031" s="5">
        <v>43525</v>
      </c>
      <c r="B1031" s="4" t="s">
        <v>76</v>
      </c>
      <c r="C1031" s="4" t="s">
        <v>52</v>
      </c>
      <c r="D1031" s="4" t="s">
        <v>57</v>
      </c>
      <c r="E1031">
        <v>255</v>
      </c>
      <c r="F1031">
        <v>127332</v>
      </c>
      <c r="G1031">
        <v>0</v>
      </c>
    </row>
    <row r="1032" spans="1:7" x14ac:dyDescent="0.25">
      <c r="A1032" s="5">
        <v>43527</v>
      </c>
      <c r="B1032" s="4" t="s">
        <v>76</v>
      </c>
      <c r="C1032" s="4" t="s">
        <v>52</v>
      </c>
      <c r="D1032" s="4" t="s">
        <v>57</v>
      </c>
      <c r="E1032">
        <v>1469</v>
      </c>
      <c r="F1032">
        <v>734672</v>
      </c>
      <c r="G1032">
        <v>0</v>
      </c>
    </row>
    <row r="1033" spans="1:7" x14ac:dyDescent="0.25">
      <c r="A1033" s="5">
        <v>43529</v>
      </c>
      <c r="B1033" s="4" t="s">
        <v>76</v>
      </c>
      <c r="C1033" s="4" t="s">
        <v>52</v>
      </c>
      <c r="D1033" s="4" t="s">
        <v>60</v>
      </c>
      <c r="E1033">
        <v>428</v>
      </c>
      <c r="F1033">
        <v>213950</v>
      </c>
      <c r="G1033">
        <v>0</v>
      </c>
    </row>
    <row r="1034" spans="1:7" x14ac:dyDescent="0.25">
      <c r="A1034" s="5">
        <v>43530</v>
      </c>
      <c r="B1034" s="4" t="s">
        <v>76</v>
      </c>
      <c r="C1034" s="4" t="s">
        <v>52</v>
      </c>
      <c r="D1034" s="4" t="s">
        <v>55</v>
      </c>
      <c r="E1034">
        <v>66</v>
      </c>
      <c r="F1034">
        <v>33154</v>
      </c>
      <c r="G1034">
        <v>0</v>
      </c>
    </row>
    <row r="1035" spans="1:7" x14ac:dyDescent="0.25">
      <c r="A1035" s="5">
        <v>43532</v>
      </c>
      <c r="B1035" s="4" t="s">
        <v>76</v>
      </c>
      <c r="C1035" s="4" t="s">
        <v>52</v>
      </c>
      <c r="D1035" s="4" t="s">
        <v>55</v>
      </c>
      <c r="E1035">
        <v>96</v>
      </c>
      <c r="F1035">
        <v>47947</v>
      </c>
      <c r="G1035">
        <v>0</v>
      </c>
    </row>
    <row r="1036" spans="1:7" x14ac:dyDescent="0.25">
      <c r="A1036" s="5">
        <v>43532</v>
      </c>
      <c r="B1036" s="4" t="s">
        <v>76</v>
      </c>
      <c r="C1036" s="4" t="s">
        <v>52</v>
      </c>
      <c r="D1036" s="4" t="s">
        <v>53</v>
      </c>
      <c r="E1036">
        <v>248</v>
      </c>
      <c r="F1036">
        <v>123894</v>
      </c>
      <c r="G1036">
        <v>0</v>
      </c>
    </row>
    <row r="1037" spans="1:7" x14ac:dyDescent="0.25">
      <c r="A1037" s="5">
        <v>43533</v>
      </c>
      <c r="B1037" s="4" t="s">
        <v>76</v>
      </c>
      <c r="C1037" s="4" t="s">
        <v>52</v>
      </c>
      <c r="D1037" s="4" t="s">
        <v>55</v>
      </c>
      <c r="E1037">
        <v>79</v>
      </c>
      <c r="F1037">
        <v>39577</v>
      </c>
      <c r="G1037">
        <v>0</v>
      </c>
    </row>
    <row r="1038" spans="1:7" x14ac:dyDescent="0.25">
      <c r="A1038" s="5">
        <v>43533</v>
      </c>
      <c r="B1038" s="4" t="s">
        <v>76</v>
      </c>
      <c r="C1038" s="4" t="s">
        <v>52</v>
      </c>
      <c r="D1038" s="4" t="s">
        <v>62</v>
      </c>
      <c r="E1038">
        <v>129</v>
      </c>
      <c r="F1038">
        <v>64320</v>
      </c>
      <c r="G1038">
        <v>0</v>
      </c>
    </row>
    <row r="1039" spans="1:7" x14ac:dyDescent="0.25">
      <c r="A1039" s="5">
        <v>43536</v>
      </c>
      <c r="B1039" s="4" t="s">
        <v>76</v>
      </c>
      <c r="C1039" s="4" t="s">
        <v>52</v>
      </c>
      <c r="D1039" s="4" t="s">
        <v>57</v>
      </c>
      <c r="E1039">
        <v>159</v>
      </c>
      <c r="F1039">
        <v>79423</v>
      </c>
      <c r="G1039">
        <v>0</v>
      </c>
    </row>
    <row r="1040" spans="1:7" x14ac:dyDescent="0.25">
      <c r="A1040" s="5">
        <v>43537</v>
      </c>
      <c r="B1040" s="4" t="s">
        <v>76</v>
      </c>
      <c r="C1040" s="4" t="s">
        <v>52</v>
      </c>
      <c r="D1040" s="4" t="s">
        <v>61</v>
      </c>
      <c r="E1040">
        <v>331</v>
      </c>
      <c r="F1040">
        <v>165598</v>
      </c>
      <c r="G1040">
        <v>0</v>
      </c>
    </row>
    <row r="1041" spans="1:7" x14ac:dyDescent="0.25">
      <c r="A1041" s="5">
        <v>43537</v>
      </c>
      <c r="B1041" s="4" t="s">
        <v>76</v>
      </c>
      <c r="C1041" s="4" t="s">
        <v>52</v>
      </c>
      <c r="D1041" s="4" t="s">
        <v>57</v>
      </c>
      <c r="E1041">
        <v>261</v>
      </c>
      <c r="F1041">
        <v>130440</v>
      </c>
      <c r="G1041">
        <v>0</v>
      </c>
    </row>
    <row r="1042" spans="1:7" x14ac:dyDescent="0.25">
      <c r="A1042" s="5">
        <v>43537</v>
      </c>
      <c r="B1042" s="4" t="s">
        <v>76</v>
      </c>
      <c r="C1042" s="4" t="s">
        <v>52</v>
      </c>
      <c r="D1042" s="4" t="s">
        <v>55</v>
      </c>
      <c r="E1042">
        <v>373</v>
      </c>
      <c r="F1042">
        <v>186425</v>
      </c>
      <c r="G1042">
        <v>0</v>
      </c>
    </row>
    <row r="1043" spans="1:7" x14ac:dyDescent="0.25">
      <c r="A1043" s="5">
        <v>43539</v>
      </c>
      <c r="B1043" s="4" t="s">
        <v>76</v>
      </c>
      <c r="C1043" s="4" t="s">
        <v>52</v>
      </c>
      <c r="D1043" s="4" t="s">
        <v>55</v>
      </c>
      <c r="E1043">
        <v>453</v>
      </c>
      <c r="F1043">
        <v>226614</v>
      </c>
      <c r="G1043">
        <v>0</v>
      </c>
    </row>
    <row r="1044" spans="1:7" x14ac:dyDescent="0.25">
      <c r="A1044" s="5">
        <v>43540</v>
      </c>
      <c r="B1044" s="4" t="s">
        <v>76</v>
      </c>
      <c r="C1044" s="4" t="s">
        <v>52</v>
      </c>
      <c r="D1044" s="4" t="s">
        <v>55</v>
      </c>
      <c r="E1044">
        <v>149</v>
      </c>
      <c r="F1044">
        <v>74386</v>
      </c>
      <c r="G1044">
        <v>0</v>
      </c>
    </row>
    <row r="1045" spans="1:7" x14ac:dyDescent="0.25">
      <c r="A1045" s="5">
        <v>43540</v>
      </c>
      <c r="B1045" s="4" t="s">
        <v>76</v>
      </c>
      <c r="C1045" s="4" t="s">
        <v>52</v>
      </c>
      <c r="D1045" s="4" t="s">
        <v>64</v>
      </c>
      <c r="E1045">
        <v>158</v>
      </c>
      <c r="F1045">
        <v>79062</v>
      </c>
      <c r="G1045">
        <v>0</v>
      </c>
    </row>
    <row r="1046" spans="1:7" x14ac:dyDescent="0.25">
      <c r="A1046" s="5">
        <v>43543</v>
      </c>
      <c r="B1046" s="4" t="s">
        <v>76</v>
      </c>
      <c r="C1046" s="4" t="s">
        <v>52</v>
      </c>
      <c r="D1046" s="4" t="s">
        <v>60</v>
      </c>
      <c r="E1046">
        <v>326</v>
      </c>
      <c r="F1046">
        <v>163134</v>
      </c>
      <c r="G1046">
        <v>0</v>
      </c>
    </row>
    <row r="1047" spans="1:7" x14ac:dyDescent="0.25">
      <c r="A1047" s="5">
        <v>43544</v>
      </c>
      <c r="B1047" s="4" t="s">
        <v>76</v>
      </c>
      <c r="C1047" s="4" t="s">
        <v>52</v>
      </c>
      <c r="D1047" s="4" t="s">
        <v>53</v>
      </c>
      <c r="E1047">
        <v>835</v>
      </c>
      <c r="F1047">
        <v>417517</v>
      </c>
      <c r="G1047">
        <v>0</v>
      </c>
    </row>
    <row r="1048" spans="1:7" x14ac:dyDescent="0.25">
      <c r="A1048" s="5">
        <v>43545</v>
      </c>
      <c r="B1048" s="4" t="s">
        <v>76</v>
      </c>
      <c r="C1048" s="4" t="s">
        <v>52</v>
      </c>
      <c r="D1048" s="4" t="s">
        <v>54</v>
      </c>
      <c r="E1048">
        <v>512</v>
      </c>
      <c r="F1048">
        <v>255945</v>
      </c>
      <c r="G1048">
        <v>0</v>
      </c>
    </row>
    <row r="1049" spans="1:7" x14ac:dyDescent="0.25">
      <c r="A1049" s="5">
        <v>43545</v>
      </c>
      <c r="B1049" s="4" t="s">
        <v>76</v>
      </c>
      <c r="C1049" s="4" t="s">
        <v>52</v>
      </c>
      <c r="D1049" s="4" t="s">
        <v>61</v>
      </c>
      <c r="E1049">
        <v>61</v>
      </c>
      <c r="F1049">
        <v>30500</v>
      </c>
      <c r="G1049">
        <v>0</v>
      </c>
    </row>
    <row r="1050" spans="1:7" x14ac:dyDescent="0.25">
      <c r="A1050" s="5">
        <v>43546</v>
      </c>
      <c r="B1050" s="4" t="s">
        <v>76</v>
      </c>
      <c r="C1050" s="4" t="s">
        <v>52</v>
      </c>
      <c r="D1050" s="4" t="s">
        <v>53</v>
      </c>
      <c r="E1050">
        <v>385</v>
      </c>
      <c r="F1050">
        <v>192552</v>
      </c>
      <c r="G1050">
        <v>0</v>
      </c>
    </row>
    <row r="1051" spans="1:7" x14ac:dyDescent="0.25">
      <c r="A1051" s="5">
        <v>43546</v>
      </c>
      <c r="B1051" s="4" t="s">
        <v>76</v>
      </c>
      <c r="C1051" s="4" t="s">
        <v>52</v>
      </c>
      <c r="D1051" s="4" t="s">
        <v>55</v>
      </c>
      <c r="E1051">
        <v>60</v>
      </c>
      <c r="F1051">
        <v>30204</v>
      </c>
      <c r="G1051">
        <v>0</v>
      </c>
    </row>
    <row r="1052" spans="1:7" x14ac:dyDescent="0.25">
      <c r="A1052" s="5">
        <v>43546</v>
      </c>
      <c r="B1052" s="4" t="s">
        <v>76</v>
      </c>
      <c r="C1052" s="4" t="s">
        <v>52</v>
      </c>
      <c r="D1052" s="4" t="s">
        <v>57</v>
      </c>
      <c r="E1052">
        <v>43</v>
      </c>
      <c r="F1052">
        <v>21270</v>
      </c>
      <c r="G1052">
        <v>0</v>
      </c>
    </row>
    <row r="1053" spans="1:7" x14ac:dyDescent="0.25">
      <c r="A1053" s="5">
        <v>43547</v>
      </c>
      <c r="B1053" s="4" t="s">
        <v>76</v>
      </c>
      <c r="C1053" s="4" t="s">
        <v>52</v>
      </c>
      <c r="D1053" s="4" t="s">
        <v>66</v>
      </c>
      <c r="E1053">
        <v>133</v>
      </c>
      <c r="F1053">
        <v>66554</v>
      </c>
      <c r="G1053">
        <v>0</v>
      </c>
    </row>
    <row r="1054" spans="1:7" x14ac:dyDescent="0.25">
      <c r="A1054" s="5">
        <v>43548</v>
      </c>
      <c r="B1054" s="4" t="s">
        <v>76</v>
      </c>
      <c r="C1054" s="4" t="s">
        <v>52</v>
      </c>
      <c r="D1054" s="4" t="s">
        <v>58</v>
      </c>
      <c r="E1054">
        <v>84</v>
      </c>
      <c r="F1054">
        <v>42022</v>
      </c>
      <c r="G1054">
        <v>0</v>
      </c>
    </row>
    <row r="1055" spans="1:7" x14ac:dyDescent="0.25">
      <c r="A1055" s="5">
        <v>43551</v>
      </c>
      <c r="B1055" s="4" t="s">
        <v>76</v>
      </c>
      <c r="C1055" s="4" t="s">
        <v>52</v>
      </c>
      <c r="D1055" s="4" t="s">
        <v>58</v>
      </c>
      <c r="E1055">
        <v>489</v>
      </c>
      <c r="F1055">
        <v>244561</v>
      </c>
      <c r="G1055">
        <v>0</v>
      </c>
    </row>
    <row r="1056" spans="1:7" x14ac:dyDescent="0.25">
      <c r="A1056" s="5">
        <v>43551</v>
      </c>
      <c r="B1056" s="4" t="s">
        <v>76</v>
      </c>
      <c r="C1056" s="4" t="s">
        <v>52</v>
      </c>
      <c r="D1056" s="4" t="s">
        <v>55</v>
      </c>
      <c r="E1056">
        <v>189</v>
      </c>
      <c r="F1056">
        <v>94480</v>
      </c>
      <c r="G1056">
        <v>0</v>
      </c>
    </row>
    <row r="1057" spans="1:7" x14ac:dyDescent="0.25">
      <c r="A1057" s="5">
        <v>43552</v>
      </c>
      <c r="B1057" s="4" t="s">
        <v>76</v>
      </c>
      <c r="C1057" s="4" t="s">
        <v>52</v>
      </c>
      <c r="D1057" s="4" t="s">
        <v>61</v>
      </c>
      <c r="E1057">
        <v>77</v>
      </c>
      <c r="F1057">
        <v>38730</v>
      </c>
      <c r="G1057">
        <v>0</v>
      </c>
    </row>
    <row r="1058" spans="1:7" x14ac:dyDescent="0.25">
      <c r="A1058" s="5">
        <v>43552</v>
      </c>
      <c r="B1058" s="4" t="s">
        <v>76</v>
      </c>
      <c r="C1058" s="4" t="s">
        <v>52</v>
      </c>
      <c r="D1058" s="4" t="s">
        <v>61</v>
      </c>
      <c r="E1058">
        <v>199</v>
      </c>
      <c r="F1058">
        <v>99600</v>
      </c>
      <c r="G1058">
        <v>0</v>
      </c>
    </row>
    <row r="1059" spans="1:7" x14ac:dyDescent="0.25">
      <c r="A1059" s="5">
        <v>43553</v>
      </c>
      <c r="B1059" s="4" t="s">
        <v>76</v>
      </c>
      <c r="C1059" s="4" t="s">
        <v>52</v>
      </c>
      <c r="D1059" s="4" t="s">
        <v>67</v>
      </c>
      <c r="E1059">
        <v>625</v>
      </c>
      <c r="F1059">
        <v>312699</v>
      </c>
      <c r="G1059">
        <v>0</v>
      </c>
    </row>
    <row r="1060" spans="1:7" x14ac:dyDescent="0.25">
      <c r="A1060" s="5">
        <v>43553</v>
      </c>
      <c r="B1060" s="4" t="s">
        <v>76</v>
      </c>
      <c r="C1060" s="4" t="s">
        <v>52</v>
      </c>
      <c r="D1060" s="4" t="s">
        <v>54</v>
      </c>
      <c r="E1060">
        <v>320</v>
      </c>
      <c r="F1060">
        <v>160102</v>
      </c>
      <c r="G1060">
        <v>0</v>
      </c>
    </row>
    <row r="1061" spans="1:7" x14ac:dyDescent="0.25">
      <c r="A1061" s="5">
        <v>43554</v>
      </c>
      <c r="B1061" s="4" t="s">
        <v>76</v>
      </c>
      <c r="C1061" s="4" t="s">
        <v>52</v>
      </c>
      <c r="D1061" s="4" t="s">
        <v>55</v>
      </c>
      <c r="E1061">
        <v>122</v>
      </c>
      <c r="F1061">
        <v>61016</v>
      </c>
      <c r="G1061">
        <v>0</v>
      </c>
    </row>
    <row r="1062" spans="1:7" x14ac:dyDescent="0.25">
      <c r="A1062" s="5">
        <v>43555</v>
      </c>
      <c r="B1062" s="4" t="s">
        <v>76</v>
      </c>
      <c r="C1062" s="4" t="s">
        <v>52</v>
      </c>
      <c r="D1062" s="4" t="s">
        <v>60</v>
      </c>
      <c r="E1062">
        <v>173</v>
      </c>
      <c r="F1062">
        <v>86486</v>
      </c>
      <c r="G1062">
        <v>0</v>
      </c>
    </row>
    <row r="1063" spans="1:7" x14ac:dyDescent="0.25">
      <c r="A1063" s="5">
        <v>43555</v>
      </c>
      <c r="B1063" s="4" t="s">
        <v>76</v>
      </c>
      <c r="C1063" s="4" t="s">
        <v>52</v>
      </c>
      <c r="D1063" s="4" t="s">
        <v>53</v>
      </c>
      <c r="E1063">
        <v>17</v>
      </c>
      <c r="F1063">
        <v>8294</v>
      </c>
      <c r="G1063">
        <v>0</v>
      </c>
    </row>
    <row r="1064" spans="1:7" x14ac:dyDescent="0.25">
      <c r="A1064" s="5">
        <v>43545</v>
      </c>
      <c r="B1064" s="4" t="s">
        <v>76</v>
      </c>
      <c r="C1064" s="4" t="s">
        <v>68</v>
      </c>
      <c r="D1064" s="4" t="s">
        <v>70</v>
      </c>
      <c r="E1064">
        <v>35</v>
      </c>
      <c r="F1064">
        <v>17650</v>
      </c>
      <c r="G1064">
        <v>0</v>
      </c>
    </row>
    <row r="1065" spans="1:7" x14ac:dyDescent="0.25">
      <c r="A1065" s="5">
        <v>43531</v>
      </c>
      <c r="B1065" s="4" t="s">
        <v>76</v>
      </c>
      <c r="C1065" s="4" t="s">
        <v>68</v>
      </c>
      <c r="D1065" s="4" t="s">
        <v>59</v>
      </c>
      <c r="E1065">
        <v>65</v>
      </c>
      <c r="F1065">
        <v>32500</v>
      </c>
      <c r="G1065">
        <v>0</v>
      </c>
    </row>
    <row r="1066" spans="1:7" x14ac:dyDescent="0.25">
      <c r="A1066" s="5">
        <v>43552</v>
      </c>
      <c r="B1066" s="4" t="s">
        <v>76</v>
      </c>
      <c r="C1066" s="4" t="s">
        <v>68</v>
      </c>
      <c r="D1066" s="4" t="s">
        <v>67</v>
      </c>
      <c r="E1066">
        <v>82</v>
      </c>
      <c r="F1066">
        <v>41000</v>
      </c>
      <c r="G1066">
        <v>0</v>
      </c>
    </row>
    <row r="1067" spans="1:7" x14ac:dyDescent="0.25">
      <c r="A1067" s="5">
        <v>43545</v>
      </c>
      <c r="B1067" s="4" t="s">
        <v>76</v>
      </c>
      <c r="C1067" s="4" t="s">
        <v>68</v>
      </c>
      <c r="D1067" s="4" t="s">
        <v>60</v>
      </c>
      <c r="E1067">
        <v>119</v>
      </c>
      <c r="F1067">
        <v>59300</v>
      </c>
      <c r="G1067">
        <v>0</v>
      </c>
    </row>
    <row r="1068" spans="1:7" x14ac:dyDescent="0.25">
      <c r="A1068" s="5">
        <v>43552</v>
      </c>
      <c r="B1068" s="4" t="s">
        <v>76</v>
      </c>
      <c r="C1068" s="4" t="s">
        <v>68</v>
      </c>
      <c r="D1068" s="4" t="s">
        <v>56</v>
      </c>
      <c r="E1068">
        <v>122</v>
      </c>
      <c r="F1068">
        <v>61240</v>
      </c>
      <c r="G1068">
        <v>0</v>
      </c>
    </row>
    <row r="1069" spans="1:7" x14ac:dyDescent="0.25">
      <c r="A1069" s="5">
        <v>43531</v>
      </c>
      <c r="B1069" s="4" t="s">
        <v>76</v>
      </c>
      <c r="C1069" s="4" t="s">
        <v>68</v>
      </c>
      <c r="D1069" s="4" t="s">
        <v>67</v>
      </c>
      <c r="E1069">
        <v>127</v>
      </c>
      <c r="F1069">
        <v>63690</v>
      </c>
      <c r="G1069">
        <v>0</v>
      </c>
    </row>
    <row r="1070" spans="1:7" x14ac:dyDescent="0.25">
      <c r="A1070" s="5">
        <v>43545</v>
      </c>
      <c r="B1070" s="4" t="s">
        <v>76</v>
      </c>
      <c r="C1070" s="4" t="s">
        <v>68</v>
      </c>
      <c r="D1070" s="4" t="s">
        <v>55</v>
      </c>
      <c r="E1070">
        <v>140</v>
      </c>
      <c r="F1070">
        <v>69910</v>
      </c>
      <c r="G1070">
        <v>0</v>
      </c>
    </row>
    <row r="1071" spans="1:7" x14ac:dyDescent="0.25">
      <c r="A1071" s="5">
        <v>43531</v>
      </c>
      <c r="B1071" s="4" t="s">
        <v>76</v>
      </c>
      <c r="C1071" s="4" t="s">
        <v>68</v>
      </c>
      <c r="D1071" s="4" t="s">
        <v>57</v>
      </c>
      <c r="E1071">
        <v>152</v>
      </c>
      <c r="F1071">
        <v>75800</v>
      </c>
      <c r="G1071">
        <v>0</v>
      </c>
    </row>
    <row r="1072" spans="1:7" x14ac:dyDescent="0.25">
      <c r="A1072" s="5">
        <v>43531</v>
      </c>
      <c r="B1072" s="4" t="s">
        <v>76</v>
      </c>
      <c r="C1072" s="4" t="s">
        <v>68</v>
      </c>
      <c r="D1072" s="4" t="s">
        <v>70</v>
      </c>
      <c r="E1072">
        <v>170</v>
      </c>
      <c r="F1072">
        <v>85180</v>
      </c>
      <c r="G1072">
        <v>0</v>
      </c>
    </row>
    <row r="1073" spans="1:7" x14ac:dyDescent="0.25">
      <c r="A1073" s="5">
        <v>43538</v>
      </c>
      <c r="B1073" s="4" t="s">
        <v>76</v>
      </c>
      <c r="C1073" s="4" t="s">
        <v>68</v>
      </c>
      <c r="D1073" s="4" t="s">
        <v>59</v>
      </c>
      <c r="E1073">
        <v>244</v>
      </c>
      <c r="F1073">
        <v>122130</v>
      </c>
      <c r="G1073">
        <v>0</v>
      </c>
    </row>
    <row r="1074" spans="1:7" x14ac:dyDescent="0.25">
      <c r="A1074" s="5">
        <v>43538</v>
      </c>
      <c r="B1074" s="4" t="s">
        <v>76</v>
      </c>
      <c r="C1074" s="4" t="s">
        <v>68</v>
      </c>
      <c r="D1074" s="4" t="s">
        <v>61</v>
      </c>
      <c r="E1074">
        <v>246</v>
      </c>
      <c r="F1074">
        <v>123210</v>
      </c>
      <c r="G1074">
        <v>0</v>
      </c>
    </row>
    <row r="1075" spans="1:7" x14ac:dyDescent="0.25">
      <c r="A1075" s="5">
        <v>43531</v>
      </c>
      <c r="B1075" s="4" t="s">
        <v>76</v>
      </c>
      <c r="C1075" s="4" t="s">
        <v>68</v>
      </c>
      <c r="D1075" s="4" t="s">
        <v>61</v>
      </c>
      <c r="E1075">
        <v>295</v>
      </c>
      <c r="F1075">
        <v>147550</v>
      </c>
      <c r="G1075">
        <v>0</v>
      </c>
    </row>
    <row r="1076" spans="1:7" x14ac:dyDescent="0.25">
      <c r="A1076" s="5">
        <v>43545</v>
      </c>
      <c r="B1076" s="4" t="s">
        <v>76</v>
      </c>
      <c r="C1076" s="4" t="s">
        <v>68</v>
      </c>
      <c r="D1076" s="4" t="s">
        <v>63</v>
      </c>
      <c r="E1076">
        <v>361</v>
      </c>
      <c r="F1076">
        <v>180340</v>
      </c>
      <c r="G1076">
        <v>0</v>
      </c>
    </row>
    <row r="1077" spans="1:7" x14ac:dyDescent="0.25">
      <c r="A1077" s="5">
        <v>43545</v>
      </c>
      <c r="B1077" s="4" t="s">
        <v>76</v>
      </c>
      <c r="C1077" s="4" t="s">
        <v>68</v>
      </c>
      <c r="D1077" s="4" t="s">
        <v>67</v>
      </c>
      <c r="E1077">
        <v>370</v>
      </c>
      <c r="F1077">
        <v>185000</v>
      </c>
      <c r="G1077">
        <v>0</v>
      </c>
    </row>
    <row r="1078" spans="1:7" x14ac:dyDescent="0.25">
      <c r="A1078" s="5">
        <v>43545</v>
      </c>
      <c r="B1078" s="4" t="s">
        <v>76</v>
      </c>
      <c r="C1078" s="4" t="s">
        <v>68</v>
      </c>
      <c r="D1078" s="4" t="s">
        <v>61</v>
      </c>
      <c r="E1078">
        <v>415</v>
      </c>
      <c r="F1078">
        <v>207480</v>
      </c>
      <c r="G1078">
        <v>0</v>
      </c>
    </row>
    <row r="1079" spans="1:7" x14ac:dyDescent="0.25">
      <c r="A1079" s="5">
        <v>43531</v>
      </c>
      <c r="B1079" s="4" t="s">
        <v>76</v>
      </c>
      <c r="C1079" s="4" t="s">
        <v>68</v>
      </c>
      <c r="D1079" s="4" t="s">
        <v>55</v>
      </c>
      <c r="E1079">
        <v>441</v>
      </c>
      <c r="F1079">
        <v>220680</v>
      </c>
      <c r="G1079">
        <v>0</v>
      </c>
    </row>
    <row r="1080" spans="1:7" x14ac:dyDescent="0.25">
      <c r="A1080" s="5">
        <v>43538</v>
      </c>
      <c r="B1080" s="4" t="s">
        <v>76</v>
      </c>
      <c r="C1080" s="4" t="s">
        <v>68</v>
      </c>
      <c r="D1080" s="4" t="s">
        <v>61</v>
      </c>
      <c r="E1080">
        <v>468</v>
      </c>
      <c r="F1080">
        <v>234060</v>
      </c>
      <c r="G1080">
        <v>0</v>
      </c>
    </row>
    <row r="1081" spans="1:7" x14ac:dyDescent="0.25">
      <c r="A1081" s="5">
        <v>43531</v>
      </c>
      <c r="B1081" s="4" t="s">
        <v>76</v>
      </c>
      <c r="C1081" s="4" t="s">
        <v>68</v>
      </c>
      <c r="D1081" s="4" t="s">
        <v>61</v>
      </c>
      <c r="E1081">
        <v>472</v>
      </c>
      <c r="F1081">
        <v>236070</v>
      </c>
      <c r="G1081">
        <v>0</v>
      </c>
    </row>
    <row r="1082" spans="1:7" x14ac:dyDescent="0.25">
      <c r="A1082" s="5">
        <v>43552</v>
      </c>
      <c r="B1082" s="4" t="s">
        <v>76</v>
      </c>
      <c r="C1082" s="4" t="s">
        <v>68</v>
      </c>
      <c r="D1082" s="4" t="s">
        <v>61</v>
      </c>
      <c r="E1082">
        <v>510</v>
      </c>
      <c r="F1082">
        <v>254770</v>
      </c>
      <c r="G1082">
        <v>0</v>
      </c>
    </row>
    <row r="1083" spans="1:7" x14ac:dyDescent="0.25">
      <c r="A1083" s="5">
        <v>43531</v>
      </c>
      <c r="B1083" s="4" t="s">
        <v>76</v>
      </c>
      <c r="C1083" s="4" t="s">
        <v>68</v>
      </c>
      <c r="D1083" s="4" t="s">
        <v>57</v>
      </c>
      <c r="E1083">
        <v>514</v>
      </c>
      <c r="F1083">
        <v>257040</v>
      </c>
      <c r="G1083">
        <v>0</v>
      </c>
    </row>
    <row r="1084" spans="1:7" x14ac:dyDescent="0.25">
      <c r="A1084" s="5">
        <v>43545</v>
      </c>
      <c r="B1084" s="4" t="s">
        <v>76</v>
      </c>
      <c r="C1084" s="4" t="s">
        <v>68</v>
      </c>
      <c r="D1084" s="4" t="s">
        <v>64</v>
      </c>
      <c r="E1084">
        <v>523</v>
      </c>
      <c r="F1084">
        <v>261420</v>
      </c>
      <c r="G1084">
        <v>0</v>
      </c>
    </row>
    <row r="1085" spans="1:7" x14ac:dyDescent="0.25">
      <c r="A1085" s="5">
        <v>43531</v>
      </c>
      <c r="B1085" s="4" t="s">
        <v>76</v>
      </c>
      <c r="C1085" s="4" t="s">
        <v>68</v>
      </c>
      <c r="D1085" s="4" t="s">
        <v>53</v>
      </c>
      <c r="E1085">
        <v>559</v>
      </c>
      <c r="F1085">
        <v>279440</v>
      </c>
      <c r="G1085">
        <v>0</v>
      </c>
    </row>
    <row r="1086" spans="1:7" x14ac:dyDescent="0.25">
      <c r="A1086" s="5">
        <v>43538</v>
      </c>
      <c r="B1086" s="4" t="s">
        <v>76</v>
      </c>
      <c r="C1086" s="4" t="s">
        <v>68</v>
      </c>
      <c r="D1086" s="4" t="s">
        <v>55</v>
      </c>
      <c r="E1086">
        <v>566</v>
      </c>
      <c r="F1086">
        <v>283195</v>
      </c>
      <c r="G1086">
        <v>0</v>
      </c>
    </row>
    <row r="1087" spans="1:7" x14ac:dyDescent="0.25">
      <c r="A1087" s="5">
        <v>43531</v>
      </c>
      <c r="B1087" s="4" t="s">
        <v>76</v>
      </c>
      <c r="C1087" s="4" t="s">
        <v>68</v>
      </c>
      <c r="D1087" s="4" t="s">
        <v>63</v>
      </c>
      <c r="E1087">
        <v>578</v>
      </c>
      <c r="F1087">
        <v>289030</v>
      </c>
      <c r="G1087">
        <v>0</v>
      </c>
    </row>
    <row r="1088" spans="1:7" x14ac:dyDescent="0.25">
      <c r="A1088" s="5">
        <v>43545</v>
      </c>
      <c r="B1088" s="4" t="s">
        <v>76</v>
      </c>
      <c r="C1088" s="4" t="s">
        <v>68</v>
      </c>
      <c r="D1088" s="4" t="s">
        <v>62</v>
      </c>
      <c r="E1088">
        <v>591</v>
      </c>
      <c r="F1088">
        <v>295740</v>
      </c>
      <c r="G1088">
        <v>0</v>
      </c>
    </row>
    <row r="1089" spans="1:7" x14ac:dyDescent="0.25">
      <c r="A1089" s="5">
        <v>43525</v>
      </c>
      <c r="B1089" s="4" t="s">
        <v>76</v>
      </c>
      <c r="C1089" s="4" t="s">
        <v>72</v>
      </c>
      <c r="D1089" s="4" t="s">
        <v>57</v>
      </c>
      <c r="E1089">
        <v>1999</v>
      </c>
      <c r="F1089">
        <v>999540</v>
      </c>
      <c r="G1089">
        <v>0</v>
      </c>
    </row>
    <row r="1090" spans="1:7" x14ac:dyDescent="0.25">
      <c r="A1090" s="5">
        <v>43525</v>
      </c>
      <c r="B1090" s="4" t="s">
        <v>76</v>
      </c>
      <c r="C1090" s="4" t="s">
        <v>72</v>
      </c>
      <c r="D1090" s="4" t="s">
        <v>65</v>
      </c>
      <c r="E1090">
        <v>44</v>
      </c>
      <c r="F1090">
        <v>22170</v>
      </c>
      <c r="G1090">
        <v>0</v>
      </c>
    </row>
    <row r="1091" spans="1:7" x14ac:dyDescent="0.25">
      <c r="A1091" s="5">
        <v>43526</v>
      </c>
      <c r="B1091" s="4" t="s">
        <v>76</v>
      </c>
      <c r="C1091" s="4" t="s">
        <v>72</v>
      </c>
      <c r="D1091" s="4" t="s">
        <v>57</v>
      </c>
      <c r="E1091">
        <v>61</v>
      </c>
      <c r="F1091">
        <v>30740</v>
      </c>
      <c r="G1091">
        <v>0</v>
      </c>
    </row>
    <row r="1092" spans="1:7" x14ac:dyDescent="0.25">
      <c r="A1092" s="5">
        <v>43529</v>
      </c>
      <c r="B1092" s="4" t="s">
        <v>76</v>
      </c>
      <c r="C1092" s="4" t="s">
        <v>72</v>
      </c>
      <c r="D1092" s="4" t="s">
        <v>56</v>
      </c>
      <c r="E1092">
        <v>63</v>
      </c>
      <c r="F1092">
        <v>31700</v>
      </c>
      <c r="G1092">
        <v>0</v>
      </c>
    </row>
    <row r="1093" spans="1:7" x14ac:dyDescent="0.25">
      <c r="A1093" s="5">
        <v>43531</v>
      </c>
      <c r="B1093" s="4" t="s">
        <v>76</v>
      </c>
      <c r="C1093" s="4" t="s">
        <v>72</v>
      </c>
      <c r="D1093" s="4" t="s">
        <v>54</v>
      </c>
      <c r="E1093">
        <v>28</v>
      </c>
      <c r="F1093">
        <v>13840</v>
      </c>
      <c r="G1093">
        <v>0</v>
      </c>
    </row>
    <row r="1094" spans="1:7" x14ac:dyDescent="0.25">
      <c r="A1094" s="5">
        <v>43531</v>
      </c>
      <c r="B1094" s="4" t="s">
        <v>76</v>
      </c>
      <c r="C1094" s="4" t="s">
        <v>72</v>
      </c>
      <c r="D1094" s="4" t="s">
        <v>59</v>
      </c>
      <c r="E1094">
        <v>421</v>
      </c>
      <c r="F1094">
        <v>210405</v>
      </c>
      <c r="G1094">
        <v>0</v>
      </c>
    </row>
    <row r="1095" spans="1:7" x14ac:dyDescent="0.25">
      <c r="A1095" s="5">
        <v>43532</v>
      </c>
      <c r="B1095" s="4" t="s">
        <v>76</v>
      </c>
      <c r="C1095" s="4" t="s">
        <v>72</v>
      </c>
      <c r="D1095" s="4" t="s">
        <v>67</v>
      </c>
      <c r="E1095">
        <v>176</v>
      </c>
      <c r="F1095">
        <v>87770</v>
      </c>
      <c r="G1095">
        <v>0</v>
      </c>
    </row>
    <row r="1096" spans="1:7" x14ac:dyDescent="0.25">
      <c r="A1096" s="5">
        <v>43532</v>
      </c>
      <c r="B1096" s="4" t="s">
        <v>76</v>
      </c>
      <c r="C1096" s="4" t="s">
        <v>72</v>
      </c>
      <c r="D1096" s="4" t="s">
        <v>62</v>
      </c>
      <c r="E1096">
        <v>63</v>
      </c>
      <c r="F1096">
        <v>31335</v>
      </c>
      <c r="G1096">
        <v>0</v>
      </c>
    </row>
    <row r="1097" spans="1:7" x14ac:dyDescent="0.25">
      <c r="A1097" s="5">
        <v>43533</v>
      </c>
      <c r="B1097" s="4" t="s">
        <v>76</v>
      </c>
      <c r="C1097" s="4" t="s">
        <v>72</v>
      </c>
      <c r="D1097" s="4" t="s">
        <v>55</v>
      </c>
      <c r="E1097">
        <v>25</v>
      </c>
      <c r="F1097">
        <v>12680</v>
      </c>
      <c r="G1097">
        <v>0</v>
      </c>
    </row>
    <row r="1098" spans="1:7" x14ac:dyDescent="0.25">
      <c r="A1098" s="5">
        <v>43534</v>
      </c>
      <c r="B1098" s="4" t="s">
        <v>76</v>
      </c>
      <c r="C1098" s="4" t="s">
        <v>72</v>
      </c>
      <c r="D1098" s="4" t="s">
        <v>57</v>
      </c>
      <c r="E1098">
        <v>789</v>
      </c>
      <c r="F1098">
        <v>394550</v>
      </c>
      <c r="G1098">
        <v>0</v>
      </c>
    </row>
    <row r="1099" spans="1:7" x14ac:dyDescent="0.25">
      <c r="A1099" s="5">
        <v>43534</v>
      </c>
      <c r="B1099" s="4" t="s">
        <v>76</v>
      </c>
      <c r="C1099" s="4" t="s">
        <v>72</v>
      </c>
      <c r="D1099" s="4" t="s">
        <v>60</v>
      </c>
      <c r="E1099">
        <v>292</v>
      </c>
      <c r="F1099">
        <v>145850</v>
      </c>
      <c r="G1099">
        <v>0</v>
      </c>
    </row>
    <row r="1100" spans="1:7" x14ac:dyDescent="0.25">
      <c r="A1100" s="5">
        <v>43534</v>
      </c>
      <c r="B1100" s="4" t="s">
        <v>76</v>
      </c>
      <c r="C1100" s="4" t="s">
        <v>72</v>
      </c>
      <c r="D1100" s="4" t="s">
        <v>57</v>
      </c>
      <c r="E1100">
        <v>345</v>
      </c>
      <c r="F1100">
        <v>172700</v>
      </c>
      <c r="G1100">
        <v>0</v>
      </c>
    </row>
    <row r="1101" spans="1:7" x14ac:dyDescent="0.25">
      <c r="A1101" s="5">
        <v>43536</v>
      </c>
      <c r="B1101" s="4" t="s">
        <v>76</v>
      </c>
      <c r="C1101" s="4" t="s">
        <v>72</v>
      </c>
      <c r="D1101" s="4" t="s">
        <v>58</v>
      </c>
      <c r="E1101">
        <v>217</v>
      </c>
      <c r="F1101">
        <v>108459</v>
      </c>
      <c r="G1101">
        <v>0</v>
      </c>
    </row>
    <row r="1102" spans="1:7" x14ac:dyDescent="0.25">
      <c r="A1102" s="5">
        <v>43537</v>
      </c>
      <c r="B1102" s="4" t="s">
        <v>76</v>
      </c>
      <c r="C1102" s="4" t="s">
        <v>72</v>
      </c>
      <c r="D1102" s="4" t="s">
        <v>56</v>
      </c>
      <c r="E1102">
        <v>120</v>
      </c>
      <c r="F1102">
        <v>60070</v>
      </c>
      <c r="G1102">
        <v>0</v>
      </c>
    </row>
    <row r="1103" spans="1:7" x14ac:dyDescent="0.25">
      <c r="A1103" s="5">
        <v>43537</v>
      </c>
      <c r="B1103" s="4" t="s">
        <v>76</v>
      </c>
      <c r="C1103" s="4" t="s">
        <v>72</v>
      </c>
      <c r="D1103" s="4" t="s">
        <v>65</v>
      </c>
      <c r="E1103">
        <v>89</v>
      </c>
      <c r="F1103">
        <v>44535</v>
      </c>
      <c r="G1103">
        <v>0</v>
      </c>
    </row>
    <row r="1104" spans="1:7" x14ac:dyDescent="0.25">
      <c r="A1104" s="5">
        <v>43539</v>
      </c>
      <c r="B1104" s="4" t="s">
        <v>76</v>
      </c>
      <c r="C1104" s="4" t="s">
        <v>72</v>
      </c>
      <c r="D1104" s="4" t="s">
        <v>57</v>
      </c>
      <c r="E1104">
        <v>645</v>
      </c>
      <c r="F1104">
        <v>322680</v>
      </c>
      <c r="G1104">
        <v>0</v>
      </c>
    </row>
    <row r="1105" spans="1:7" x14ac:dyDescent="0.25">
      <c r="A1105" s="5">
        <v>43540</v>
      </c>
      <c r="B1105" s="4" t="s">
        <v>76</v>
      </c>
      <c r="C1105" s="4" t="s">
        <v>72</v>
      </c>
      <c r="D1105" s="4" t="s">
        <v>60</v>
      </c>
      <c r="E1105">
        <v>18</v>
      </c>
      <c r="F1105">
        <v>9130</v>
      </c>
      <c r="G1105">
        <v>0</v>
      </c>
    </row>
    <row r="1106" spans="1:7" x14ac:dyDescent="0.25">
      <c r="A1106" s="5">
        <v>43540</v>
      </c>
      <c r="B1106" s="4" t="s">
        <v>76</v>
      </c>
      <c r="C1106" s="4" t="s">
        <v>72</v>
      </c>
      <c r="D1106" s="4" t="s">
        <v>55</v>
      </c>
      <c r="E1106">
        <v>158</v>
      </c>
      <c r="F1106">
        <v>79200</v>
      </c>
      <c r="G1106">
        <v>0</v>
      </c>
    </row>
    <row r="1107" spans="1:7" x14ac:dyDescent="0.25">
      <c r="A1107" s="5">
        <v>43544</v>
      </c>
      <c r="B1107" s="4" t="s">
        <v>76</v>
      </c>
      <c r="C1107" s="4" t="s">
        <v>72</v>
      </c>
      <c r="D1107" s="4" t="s">
        <v>53</v>
      </c>
      <c r="E1107">
        <v>62</v>
      </c>
      <c r="F1107">
        <v>30800</v>
      </c>
      <c r="G1107">
        <v>0</v>
      </c>
    </row>
    <row r="1108" spans="1:7" x14ac:dyDescent="0.25">
      <c r="A1108" s="5">
        <v>43545</v>
      </c>
      <c r="B1108" s="4" t="s">
        <v>76</v>
      </c>
      <c r="C1108" s="4" t="s">
        <v>72</v>
      </c>
      <c r="D1108" s="4" t="s">
        <v>57</v>
      </c>
      <c r="E1108">
        <v>1028</v>
      </c>
      <c r="F1108">
        <v>513830</v>
      </c>
      <c r="G1108">
        <v>0</v>
      </c>
    </row>
    <row r="1109" spans="1:7" x14ac:dyDescent="0.25">
      <c r="A1109" s="5">
        <v>43546</v>
      </c>
      <c r="B1109" s="4" t="s">
        <v>76</v>
      </c>
      <c r="C1109" s="4" t="s">
        <v>72</v>
      </c>
      <c r="D1109" s="4" t="s">
        <v>55</v>
      </c>
      <c r="E1109">
        <v>149</v>
      </c>
      <c r="F1109">
        <v>74480</v>
      </c>
      <c r="G1109">
        <v>0</v>
      </c>
    </row>
    <row r="1110" spans="1:7" x14ac:dyDescent="0.25">
      <c r="A1110" s="5">
        <v>43554</v>
      </c>
      <c r="B1110" s="4" t="s">
        <v>76</v>
      </c>
      <c r="C1110" s="4" t="s">
        <v>72</v>
      </c>
      <c r="D1110" s="4" t="s">
        <v>55</v>
      </c>
      <c r="E1110">
        <v>32</v>
      </c>
      <c r="F1110">
        <v>16200</v>
      </c>
      <c r="G1110">
        <v>0</v>
      </c>
    </row>
    <row r="1111" spans="1:7" x14ac:dyDescent="0.25">
      <c r="A1111" s="5">
        <v>43554</v>
      </c>
      <c r="B1111" s="4" t="s">
        <v>76</v>
      </c>
      <c r="C1111" s="4" t="s">
        <v>72</v>
      </c>
      <c r="D1111" s="4" t="s">
        <v>58</v>
      </c>
      <c r="E1111">
        <v>105</v>
      </c>
      <c r="F1111">
        <v>52400</v>
      </c>
      <c r="G1111">
        <v>0</v>
      </c>
    </row>
    <row r="1112" spans="1:7" x14ac:dyDescent="0.25">
      <c r="A1112" s="5">
        <v>43531</v>
      </c>
      <c r="B1112" s="4" t="s">
        <v>76</v>
      </c>
      <c r="C1112" s="4" t="s">
        <v>73</v>
      </c>
      <c r="D1112" s="4" t="s">
        <v>71</v>
      </c>
      <c r="E1112">
        <v>146</v>
      </c>
      <c r="F1112">
        <v>72960</v>
      </c>
      <c r="G1112">
        <v>0</v>
      </c>
    </row>
    <row r="1113" spans="1:7" x14ac:dyDescent="0.25">
      <c r="A1113" s="5">
        <v>43531</v>
      </c>
      <c r="B1113" s="4" t="s">
        <v>76</v>
      </c>
      <c r="C1113" s="4" t="s">
        <v>73</v>
      </c>
      <c r="D1113" s="4" t="s">
        <v>57</v>
      </c>
      <c r="E1113">
        <v>142</v>
      </c>
      <c r="F1113">
        <v>71190</v>
      </c>
      <c r="G1113">
        <v>0</v>
      </c>
    </row>
    <row r="1114" spans="1:7" x14ac:dyDescent="0.25">
      <c r="A1114" s="5">
        <v>43531</v>
      </c>
      <c r="B1114" s="4" t="s">
        <v>76</v>
      </c>
      <c r="C1114" s="4" t="s">
        <v>73</v>
      </c>
      <c r="D1114" s="4" t="s">
        <v>60</v>
      </c>
      <c r="E1114">
        <v>122</v>
      </c>
      <c r="F1114">
        <v>60920</v>
      </c>
      <c r="G1114">
        <v>0</v>
      </c>
    </row>
    <row r="1115" spans="1:7" x14ac:dyDescent="0.25">
      <c r="A1115" s="5">
        <v>43531</v>
      </c>
      <c r="B1115" s="4" t="s">
        <v>76</v>
      </c>
      <c r="C1115" s="4" t="s">
        <v>73</v>
      </c>
      <c r="D1115" s="4" t="s">
        <v>57</v>
      </c>
      <c r="E1115">
        <v>1135</v>
      </c>
      <c r="F1115">
        <v>567610</v>
      </c>
      <c r="G1115">
        <v>0</v>
      </c>
    </row>
    <row r="1116" spans="1:7" x14ac:dyDescent="0.25">
      <c r="A1116" s="5">
        <v>43531</v>
      </c>
      <c r="B1116" s="4" t="s">
        <v>76</v>
      </c>
      <c r="C1116" s="4" t="s">
        <v>73</v>
      </c>
      <c r="D1116" s="4" t="s">
        <v>62</v>
      </c>
      <c r="E1116">
        <v>381</v>
      </c>
      <c r="F1116">
        <v>190680</v>
      </c>
      <c r="G1116">
        <v>0</v>
      </c>
    </row>
    <row r="1117" spans="1:7" x14ac:dyDescent="0.25">
      <c r="A1117" s="5">
        <v>43531</v>
      </c>
      <c r="B1117" s="4" t="s">
        <v>76</v>
      </c>
      <c r="C1117" s="4" t="s">
        <v>73</v>
      </c>
      <c r="D1117" s="4" t="s">
        <v>55</v>
      </c>
      <c r="E1117">
        <v>287</v>
      </c>
      <c r="F1117">
        <v>143275</v>
      </c>
      <c r="G1117">
        <v>0</v>
      </c>
    </row>
    <row r="1118" spans="1:7" x14ac:dyDescent="0.25">
      <c r="A1118" s="5">
        <v>43531</v>
      </c>
      <c r="B1118" s="4" t="s">
        <v>76</v>
      </c>
      <c r="C1118" s="4" t="s">
        <v>73</v>
      </c>
      <c r="D1118" s="4" t="s">
        <v>59</v>
      </c>
      <c r="E1118">
        <v>1359</v>
      </c>
      <c r="F1118">
        <v>679560</v>
      </c>
      <c r="G1118">
        <v>0</v>
      </c>
    </row>
    <row r="1119" spans="1:7" x14ac:dyDescent="0.25">
      <c r="A1119" s="5">
        <v>43531</v>
      </c>
      <c r="B1119" s="4" t="s">
        <v>76</v>
      </c>
      <c r="C1119" s="4" t="s">
        <v>73</v>
      </c>
      <c r="D1119" s="4" t="s">
        <v>58</v>
      </c>
      <c r="E1119">
        <v>123</v>
      </c>
      <c r="F1119">
        <v>61735</v>
      </c>
      <c r="G1119">
        <v>0</v>
      </c>
    </row>
    <row r="1120" spans="1:7" x14ac:dyDescent="0.25">
      <c r="A1120" s="5">
        <v>43531</v>
      </c>
      <c r="B1120" s="4" t="s">
        <v>76</v>
      </c>
      <c r="C1120" s="4" t="s">
        <v>73</v>
      </c>
      <c r="D1120" s="4" t="s">
        <v>69</v>
      </c>
      <c r="E1120">
        <v>72</v>
      </c>
      <c r="F1120">
        <v>35825</v>
      </c>
      <c r="G1120">
        <v>0</v>
      </c>
    </row>
    <row r="1121" spans="1:7" x14ac:dyDescent="0.25">
      <c r="A1121" s="5">
        <v>43531</v>
      </c>
      <c r="B1121" s="4" t="s">
        <v>76</v>
      </c>
      <c r="C1121" s="4" t="s">
        <v>73</v>
      </c>
      <c r="D1121" s="4" t="s">
        <v>64</v>
      </c>
      <c r="E1121">
        <v>5478</v>
      </c>
      <c r="F1121">
        <v>2738930</v>
      </c>
      <c r="G1121">
        <v>0</v>
      </c>
    </row>
    <row r="1122" spans="1:7" x14ac:dyDescent="0.25">
      <c r="A1122" s="5">
        <v>43531</v>
      </c>
      <c r="B1122" s="4" t="s">
        <v>76</v>
      </c>
      <c r="C1122" s="4" t="s">
        <v>73</v>
      </c>
      <c r="D1122" s="4" t="s">
        <v>61</v>
      </c>
      <c r="E1122">
        <v>34</v>
      </c>
      <c r="F1122">
        <v>16975</v>
      </c>
      <c r="G1122">
        <v>0</v>
      </c>
    </row>
    <row r="1123" spans="1:7" x14ac:dyDescent="0.25">
      <c r="A1123" s="5">
        <v>43531</v>
      </c>
      <c r="B1123" s="4" t="s">
        <v>76</v>
      </c>
      <c r="C1123" s="4" t="s">
        <v>73</v>
      </c>
      <c r="D1123" s="4" t="s">
        <v>61</v>
      </c>
      <c r="E1123">
        <v>328</v>
      </c>
      <c r="F1123">
        <v>163920</v>
      </c>
      <c r="G1123">
        <v>0</v>
      </c>
    </row>
    <row r="1124" spans="1:7" x14ac:dyDescent="0.25">
      <c r="A1124" s="5">
        <v>43531</v>
      </c>
      <c r="B1124" s="4" t="s">
        <v>76</v>
      </c>
      <c r="C1124" s="4" t="s">
        <v>73</v>
      </c>
      <c r="D1124" s="4" t="s">
        <v>54</v>
      </c>
      <c r="E1124">
        <v>1233</v>
      </c>
      <c r="F1124">
        <v>616410</v>
      </c>
      <c r="G1124">
        <v>0</v>
      </c>
    </row>
    <row r="1125" spans="1:7" x14ac:dyDescent="0.25">
      <c r="A1125" s="5">
        <v>43531</v>
      </c>
      <c r="B1125" s="4" t="s">
        <v>76</v>
      </c>
      <c r="C1125" s="4" t="s">
        <v>73</v>
      </c>
      <c r="D1125" s="4" t="s">
        <v>57</v>
      </c>
      <c r="E1125">
        <v>407</v>
      </c>
      <c r="F1125">
        <v>203665</v>
      </c>
      <c r="G1125">
        <v>0</v>
      </c>
    </row>
    <row r="1126" spans="1:7" x14ac:dyDescent="0.25">
      <c r="A1126" s="5">
        <v>43531</v>
      </c>
      <c r="B1126" s="4" t="s">
        <v>76</v>
      </c>
      <c r="C1126" s="4" t="s">
        <v>73</v>
      </c>
      <c r="D1126" s="4" t="s">
        <v>61</v>
      </c>
      <c r="E1126">
        <v>132</v>
      </c>
      <c r="F1126">
        <v>66000</v>
      </c>
      <c r="G1126">
        <v>0</v>
      </c>
    </row>
    <row r="1127" spans="1:7" x14ac:dyDescent="0.25">
      <c r="A1127" s="5">
        <v>43531</v>
      </c>
      <c r="B1127" s="4" t="s">
        <v>76</v>
      </c>
      <c r="C1127" s="4" t="s">
        <v>73</v>
      </c>
      <c r="D1127" s="4" t="s">
        <v>65</v>
      </c>
      <c r="E1127">
        <v>19</v>
      </c>
      <c r="F1127">
        <v>9680</v>
      </c>
      <c r="G1127">
        <v>0</v>
      </c>
    </row>
    <row r="1128" spans="1:7" x14ac:dyDescent="0.25">
      <c r="A1128" s="5">
        <v>43538</v>
      </c>
      <c r="B1128" s="4" t="s">
        <v>76</v>
      </c>
      <c r="C1128" s="4" t="s">
        <v>73</v>
      </c>
      <c r="D1128" s="4" t="s">
        <v>54</v>
      </c>
      <c r="E1128">
        <v>847</v>
      </c>
      <c r="F1128">
        <v>423700</v>
      </c>
      <c r="G1128">
        <v>0</v>
      </c>
    </row>
    <row r="1129" spans="1:7" x14ac:dyDescent="0.25">
      <c r="A1129" s="5">
        <v>43538</v>
      </c>
      <c r="B1129" s="4" t="s">
        <v>76</v>
      </c>
      <c r="C1129" s="4" t="s">
        <v>73</v>
      </c>
      <c r="D1129" s="4" t="s">
        <v>57</v>
      </c>
      <c r="E1129">
        <v>1214</v>
      </c>
      <c r="F1129">
        <v>606865</v>
      </c>
      <c r="G1129">
        <v>0</v>
      </c>
    </row>
    <row r="1130" spans="1:7" x14ac:dyDescent="0.25">
      <c r="A1130" s="5">
        <v>43538</v>
      </c>
      <c r="B1130" s="4" t="s">
        <v>76</v>
      </c>
      <c r="C1130" s="4" t="s">
        <v>73</v>
      </c>
      <c r="D1130" s="4" t="s">
        <v>57</v>
      </c>
      <c r="E1130">
        <v>356</v>
      </c>
      <c r="F1130">
        <v>177750</v>
      </c>
      <c r="G1130">
        <v>0</v>
      </c>
    </row>
    <row r="1131" spans="1:7" x14ac:dyDescent="0.25">
      <c r="A1131" s="5">
        <v>43538</v>
      </c>
      <c r="B1131" s="4" t="s">
        <v>76</v>
      </c>
      <c r="C1131" s="4" t="s">
        <v>73</v>
      </c>
      <c r="D1131" s="4" t="s">
        <v>67</v>
      </c>
      <c r="E1131">
        <v>292</v>
      </c>
      <c r="F1131">
        <v>146060</v>
      </c>
      <c r="G1131">
        <v>0</v>
      </c>
    </row>
    <row r="1132" spans="1:7" x14ac:dyDescent="0.25">
      <c r="A1132" s="5">
        <v>43538</v>
      </c>
      <c r="B1132" s="4" t="s">
        <v>76</v>
      </c>
      <c r="C1132" s="4" t="s">
        <v>73</v>
      </c>
      <c r="D1132" s="4" t="s">
        <v>64</v>
      </c>
      <c r="E1132">
        <v>1417</v>
      </c>
      <c r="F1132">
        <v>708725</v>
      </c>
      <c r="G1132">
        <v>0</v>
      </c>
    </row>
    <row r="1133" spans="1:7" x14ac:dyDescent="0.25">
      <c r="A1133" s="5">
        <v>43538</v>
      </c>
      <c r="B1133" s="4" t="s">
        <v>76</v>
      </c>
      <c r="C1133" s="4" t="s">
        <v>73</v>
      </c>
      <c r="D1133" s="4" t="s">
        <v>67</v>
      </c>
      <c r="E1133">
        <v>48</v>
      </c>
      <c r="F1133">
        <v>23800</v>
      </c>
      <c r="G1133">
        <v>820000</v>
      </c>
    </row>
    <row r="1134" spans="1:7" x14ac:dyDescent="0.25">
      <c r="A1134" s="5">
        <v>43545</v>
      </c>
      <c r="B1134" s="4" t="s">
        <v>76</v>
      </c>
      <c r="C1134" s="4" t="s">
        <v>73</v>
      </c>
      <c r="D1134" s="4" t="s">
        <v>57</v>
      </c>
      <c r="E1134">
        <v>39</v>
      </c>
      <c r="F1134">
        <v>19690</v>
      </c>
      <c r="G1134">
        <v>820000</v>
      </c>
    </row>
    <row r="1135" spans="1:7" x14ac:dyDescent="0.25">
      <c r="A1135" s="5">
        <v>43545</v>
      </c>
      <c r="B1135" s="4" t="s">
        <v>76</v>
      </c>
      <c r="C1135" s="4" t="s">
        <v>73</v>
      </c>
      <c r="D1135" s="4" t="s">
        <v>54</v>
      </c>
      <c r="E1135">
        <v>260</v>
      </c>
      <c r="F1135">
        <v>129825</v>
      </c>
      <c r="G1135">
        <v>820000</v>
      </c>
    </row>
    <row r="1136" spans="1:7" x14ac:dyDescent="0.25">
      <c r="A1136" s="5">
        <v>43545</v>
      </c>
      <c r="B1136" s="4" t="s">
        <v>76</v>
      </c>
      <c r="C1136" s="4" t="s">
        <v>73</v>
      </c>
      <c r="D1136" s="4" t="s">
        <v>55</v>
      </c>
      <c r="E1136">
        <v>195</v>
      </c>
      <c r="F1136">
        <v>97725</v>
      </c>
      <c r="G1136">
        <v>820000</v>
      </c>
    </row>
    <row r="1137" spans="1:7" x14ac:dyDescent="0.25">
      <c r="A1137" s="5">
        <v>43545</v>
      </c>
      <c r="B1137" s="4" t="s">
        <v>76</v>
      </c>
      <c r="C1137" s="4" t="s">
        <v>73</v>
      </c>
      <c r="D1137" s="4" t="s">
        <v>55</v>
      </c>
      <c r="E1137">
        <v>319</v>
      </c>
      <c r="F1137">
        <v>159650</v>
      </c>
      <c r="G1137">
        <v>820000</v>
      </c>
    </row>
    <row r="1138" spans="1:7" x14ac:dyDescent="0.25">
      <c r="A1138" s="5">
        <v>43545</v>
      </c>
      <c r="B1138" s="4" t="s">
        <v>76</v>
      </c>
      <c r="C1138" s="4" t="s">
        <v>73</v>
      </c>
      <c r="D1138" s="4" t="s">
        <v>64</v>
      </c>
      <c r="E1138">
        <v>904</v>
      </c>
      <c r="F1138">
        <v>452105</v>
      </c>
      <c r="G1138">
        <v>820000</v>
      </c>
    </row>
    <row r="1139" spans="1:7" x14ac:dyDescent="0.25">
      <c r="A1139" s="5">
        <v>43545</v>
      </c>
      <c r="B1139" s="4" t="s">
        <v>76</v>
      </c>
      <c r="C1139" s="4" t="s">
        <v>73</v>
      </c>
      <c r="D1139" s="4" t="s">
        <v>61</v>
      </c>
      <c r="E1139">
        <v>59</v>
      </c>
      <c r="F1139">
        <v>29380</v>
      </c>
      <c r="G1139">
        <v>820000</v>
      </c>
    </row>
    <row r="1140" spans="1:7" x14ac:dyDescent="0.25">
      <c r="A1140" s="5">
        <v>43545</v>
      </c>
      <c r="B1140" s="4" t="s">
        <v>76</v>
      </c>
      <c r="C1140" s="4" t="s">
        <v>73</v>
      </c>
      <c r="D1140" s="4" t="s">
        <v>61</v>
      </c>
      <c r="E1140">
        <v>154</v>
      </c>
      <c r="F1140">
        <v>77250</v>
      </c>
      <c r="G1140">
        <v>820000</v>
      </c>
    </row>
    <row r="1141" spans="1:7" x14ac:dyDescent="0.25">
      <c r="A1141" s="5">
        <v>43545</v>
      </c>
      <c r="B1141" s="4" t="s">
        <v>76</v>
      </c>
      <c r="C1141" s="4" t="s">
        <v>73</v>
      </c>
      <c r="D1141" s="4" t="s">
        <v>67</v>
      </c>
      <c r="E1141">
        <v>326</v>
      </c>
      <c r="F1141">
        <v>162815</v>
      </c>
      <c r="G1141">
        <v>820000</v>
      </c>
    </row>
    <row r="1142" spans="1:7" x14ac:dyDescent="0.25">
      <c r="A1142" s="5">
        <v>43538</v>
      </c>
      <c r="B1142" s="4" t="s">
        <v>76</v>
      </c>
      <c r="C1142" s="4" t="s">
        <v>72</v>
      </c>
      <c r="D1142" s="4" t="s">
        <v>56</v>
      </c>
      <c r="E1142">
        <v>113</v>
      </c>
      <c r="F1142">
        <v>56625</v>
      </c>
      <c r="G1142">
        <v>820000</v>
      </c>
    </row>
    <row r="1143" spans="1:7" x14ac:dyDescent="0.25">
      <c r="A1143" s="5">
        <v>43555</v>
      </c>
      <c r="B1143" s="4" t="s">
        <v>76</v>
      </c>
      <c r="C1143" s="4" t="s">
        <v>52</v>
      </c>
      <c r="D1143" s="4" t="s">
        <v>59</v>
      </c>
      <c r="E1143">
        <v>257</v>
      </c>
      <c r="F1143">
        <v>128400</v>
      </c>
      <c r="G1143">
        <v>820000</v>
      </c>
    </row>
    <row r="1144" spans="1:7" x14ac:dyDescent="0.25">
      <c r="A1144" s="5">
        <v>43531</v>
      </c>
      <c r="B1144" s="4" t="s">
        <v>76</v>
      </c>
      <c r="C1144" s="4" t="s">
        <v>73</v>
      </c>
      <c r="D1144" s="4" t="s">
        <v>54</v>
      </c>
      <c r="E1144">
        <v>99</v>
      </c>
      <c r="F1144">
        <v>49495</v>
      </c>
      <c r="G1144">
        <v>495</v>
      </c>
    </row>
    <row r="1145" spans="1:7" x14ac:dyDescent="0.25">
      <c r="A1145" s="5">
        <v>43530</v>
      </c>
      <c r="B1145" s="4" t="s">
        <v>76</v>
      </c>
      <c r="C1145" s="4" t="s">
        <v>52</v>
      </c>
      <c r="D1145" s="4" t="s">
        <v>55</v>
      </c>
      <c r="E1145">
        <v>191</v>
      </c>
      <c r="F1145">
        <v>95600</v>
      </c>
      <c r="G1145">
        <v>600</v>
      </c>
    </row>
    <row r="1146" spans="1:7" x14ac:dyDescent="0.25">
      <c r="A1146" s="5">
        <v>43538</v>
      </c>
      <c r="B1146" s="4" t="s">
        <v>76</v>
      </c>
      <c r="C1146" s="4" t="s">
        <v>52</v>
      </c>
      <c r="D1146" s="4" t="s">
        <v>64</v>
      </c>
      <c r="E1146">
        <v>127</v>
      </c>
      <c r="F1146">
        <v>63522</v>
      </c>
      <c r="G1146">
        <v>1670</v>
      </c>
    </row>
    <row r="1147" spans="1:7" x14ac:dyDescent="0.25">
      <c r="A1147" s="5">
        <v>43537</v>
      </c>
      <c r="B1147" s="4" t="s">
        <v>76</v>
      </c>
      <c r="C1147" s="4" t="s">
        <v>52</v>
      </c>
      <c r="D1147" s="4" t="s">
        <v>55</v>
      </c>
      <c r="E1147">
        <v>83</v>
      </c>
      <c r="F1147">
        <v>41614</v>
      </c>
      <c r="G1147">
        <v>1800</v>
      </c>
    </row>
    <row r="1148" spans="1:7" x14ac:dyDescent="0.25">
      <c r="A1148" s="5">
        <v>43538</v>
      </c>
      <c r="B1148" s="4" t="s">
        <v>76</v>
      </c>
      <c r="C1148" s="4" t="s">
        <v>52</v>
      </c>
      <c r="D1148" s="4" t="s">
        <v>59</v>
      </c>
      <c r="E1148">
        <v>106</v>
      </c>
      <c r="F1148">
        <v>52800</v>
      </c>
      <c r="G1148">
        <v>2800</v>
      </c>
    </row>
    <row r="1149" spans="1:7" x14ac:dyDescent="0.25">
      <c r="A1149" s="5">
        <v>43526</v>
      </c>
      <c r="B1149" s="4" t="s">
        <v>76</v>
      </c>
      <c r="C1149" s="4" t="s">
        <v>72</v>
      </c>
      <c r="D1149" s="4" t="s">
        <v>61</v>
      </c>
      <c r="E1149">
        <v>106</v>
      </c>
      <c r="F1149">
        <v>52865</v>
      </c>
      <c r="G1149">
        <v>2865</v>
      </c>
    </row>
    <row r="1150" spans="1:7" x14ac:dyDescent="0.25">
      <c r="A1150" s="5">
        <v>43545</v>
      </c>
      <c r="B1150" s="4" t="s">
        <v>76</v>
      </c>
      <c r="C1150" s="4" t="s">
        <v>52</v>
      </c>
      <c r="D1150" s="4" t="s">
        <v>54</v>
      </c>
      <c r="E1150">
        <v>116</v>
      </c>
      <c r="F1150">
        <v>58250</v>
      </c>
      <c r="G1150">
        <v>3250</v>
      </c>
    </row>
    <row r="1151" spans="1:7" x14ac:dyDescent="0.25">
      <c r="A1151" s="5">
        <v>43553</v>
      </c>
      <c r="B1151" s="4" t="s">
        <v>76</v>
      </c>
      <c r="C1151" s="4" t="s">
        <v>72</v>
      </c>
      <c r="D1151" s="4" t="s">
        <v>58</v>
      </c>
      <c r="E1151">
        <v>87</v>
      </c>
      <c r="F1151">
        <v>43690</v>
      </c>
      <c r="G1151">
        <v>3690</v>
      </c>
    </row>
    <row r="1152" spans="1:7" x14ac:dyDescent="0.25">
      <c r="A1152" s="5">
        <v>43538</v>
      </c>
      <c r="B1152" s="4" t="s">
        <v>76</v>
      </c>
      <c r="C1152" s="4" t="s">
        <v>72</v>
      </c>
      <c r="D1152" s="4" t="s">
        <v>55</v>
      </c>
      <c r="E1152">
        <v>70</v>
      </c>
      <c r="F1152">
        <v>35005</v>
      </c>
      <c r="G1152">
        <v>5000</v>
      </c>
    </row>
    <row r="1153" spans="1:7" x14ac:dyDescent="0.25">
      <c r="A1153" s="5">
        <v>43544</v>
      </c>
      <c r="B1153" s="4" t="s">
        <v>76</v>
      </c>
      <c r="C1153" s="4" t="s">
        <v>72</v>
      </c>
      <c r="D1153" s="4" t="s">
        <v>55</v>
      </c>
      <c r="E1153">
        <v>45</v>
      </c>
      <c r="F1153">
        <v>22280</v>
      </c>
      <c r="G1153">
        <v>5000</v>
      </c>
    </row>
    <row r="1154" spans="1:7" x14ac:dyDescent="0.25">
      <c r="A1154" s="5">
        <v>43545</v>
      </c>
      <c r="B1154" s="4" t="s">
        <v>76</v>
      </c>
      <c r="C1154" s="4" t="s">
        <v>73</v>
      </c>
      <c r="D1154" s="4" t="s">
        <v>62</v>
      </c>
      <c r="E1154">
        <v>484</v>
      </c>
      <c r="F1154">
        <v>241920</v>
      </c>
      <c r="G1154">
        <v>5000</v>
      </c>
    </row>
    <row r="1155" spans="1:7" x14ac:dyDescent="0.25">
      <c r="A1155" s="5">
        <v>43545</v>
      </c>
      <c r="B1155" s="4" t="s">
        <v>76</v>
      </c>
      <c r="C1155" s="4" t="s">
        <v>73</v>
      </c>
      <c r="D1155" s="4" t="s">
        <v>63</v>
      </c>
      <c r="E1155">
        <v>9</v>
      </c>
      <c r="F1155">
        <v>4300</v>
      </c>
      <c r="G1155">
        <v>5000</v>
      </c>
    </row>
    <row r="1156" spans="1:7" x14ac:dyDescent="0.25">
      <c r="A1156" s="5">
        <v>43552</v>
      </c>
      <c r="B1156" s="4" t="s">
        <v>76</v>
      </c>
      <c r="C1156" s="4" t="s">
        <v>73</v>
      </c>
      <c r="D1156" s="4" t="s">
        <v>70</v>
      </c>
      <c r="E1156">
        <v>29</v>
      </c>
      <c r="F1156">
        <v>14480</v>
      </c>
      <c r="G1156">
        <v>5000</v>
      </c>
    </row>
    <row r="1157" spans="1:7" x14ac:dyDescent="0.25">
      <c r="A1157" s="5">
        <v>43538</v>
      </c>
      <c r="B1157" s="4" t="s">
        <v>76</v>
      </c>
      <c r="C1157" s="4" t="s">
        <v>68</v>
      </c>
      <c r="D1157" s="4" t="s">
        <v>53</v>
      </c>
      <c r="E1157">
        <v>318</v>
      </c>
      <c r="F1157">
        <v>158980</v>
      </c>
      <c r="G1157">
        <v>6600</v>
      </c>
    </row>
    <row r="1158" spans="1:7" x14ac:dyDescent="0.25">
      <c r="A1158" s="5">
        <v>43543</v>
      </c>
      <c r="B1158" s="4" t="s">
        <v>76</v>
      </c>
      <c r="C1158" s="4" t="s">
        <v>52</v>
      </c>
      <c r="D1158" s="4" t="s">
        <v>54</v>
      </c>
      <c r="E1158">
        <v>94</v>
      </c>
      <c r="F1158">
        <v>46780</v>
      </c>
      <c r="G1158">
        <v>6780</v>
      </c>
    </row>
    <row r="1159" spans="1:7" x14ac:dyDescent="0.25">
      <c r="A1159" s="5">
        <v>43547</v>
      </c>
      <c r="B1159" s="4" t="s">
        <v>76</v>
      </c>
      <c r="C1159" s="4" t="s">
        <v>52</v>
      </c>
      <c r="D1159" s="4" t="s">
        <v>63</v>
      </c>
      <c r="E1159">
        <v>134</v>
      </c>
      <c r="F1159">
        <v>66900</v>
      </c>
      <c r="G1159">
        <v>6900</v>
      </c>
    </row>
    <row r="1160" spans="1:7" x14ac:dyDescent="0.25">
      <c r="A1160" s="5">
        <v>43545</v>
      </c>
      <c r="B1160" s="4" t="s">
        <v>76</v>
      </c>
      <c r="C1160" s="4" t="s">
        <v>68</v>
      </c>
      <c r="D1160" s="4" t="s">
        <v>56</v>
      </c>
      <c r="E1160">
        <v>4</v>
      </c>
      <c r="F1160">
        <v>2160</v>
      </c>
      <c r="G1160">
        <v>8000</v>
      </c>
    </row>
    <row r="1161" spans="1:7" x14ac:dyDescent="0.25">
      <c r="A1161" s="5">
        <v>43552</v>
      </c>
      <c r="B1161" s="4" t="s">
        <v>76</v>
      </c>
      <c r="C1161" s="4" t="s">
        <v>68</v>
      </c>
      <c r="D1161" s="4" t="s">
        <v>65</v>
      </c>
      <c r="E1161">
        <v>58</v>
      </c>
      <c r="F1161">
        <v>29010</v>
      </c>
      <c r="G1161">
        <v>8400</v>
      </c>
    </row>
    <row r="1162" spans="1:7" x14ac:dyDescent="0.25">
      <c r="A1162" s="5">
        <v>43536</v>
      </c>
      <c r="B1162" s="4" t="s">
        <v>76</v>
      </c>
      <c r="C1162" s="4" t="s">
        <v>52</v>
      </c>
      <c r="D1162" s="4" t="s">
        <v>54</v>
      </c>
      <c r="E1162">
        <v>23</v>
      </c>
      <c r="F1162">
        <v>11490</v>
      </c>
      <c r="G1162">
        <v>10000</v>
      </c>
    </row>
    <row r="1163" spans="1:7" x14ac:dyDescent="0.25">
      <c r="A1163" s="5">
        <v>43553</v>
      </c>
      <c r="B1163" s="4" t="s">
        <v>76</v>
      </c>
      <c r="C1163" s="4" t="s">
        <v>52</v>
      </c>
      <c r="D1163" s="4" t="s">
        <v>57</v>
      </c>
      <c r="E1163">
        <v>224</v>
      </c>
      <c r="F1163">
        <v>112088</v>
      </c>
      <c r="G1163">
        <v>10000</v>
      </c>
    </row>
    <row r="1164" spans="1:7" x14ac:dyDescent="0.25">
      <c r="A1164" s="5">
        <v>43538</v>
      </c>
      <c r="B1164" s="4" t="s">
        <v>76</v>
      </c>
      <c r="C1164" s="4" t="s">
        <v>68</v>
      </c>
      <c r="D1164" s="4" t="s">
        <v>61</v>
      </c>
      <c r="E1164">
        <v>80</v>
      </c>
      <c r="F1164">
        <v>39810</v>
      </c>
      <c r="G1164">
        <v>10000</v>
      </c>
    </row>
    <row r="1165" spans="1:7" x14ac:dyDescent="0.25">
      <c r="A1165" s="5">
        <v>43531</v>
      </c>
      <c r="B1165" s="4" t="s">
        <v>76</v>
      </c>
      <c r="C1165" s="4" t="s">
        <v>68</v>
      </c>
      <c r="D1165" s="4" t="s">
        <v>56</v>
      </c>
      <c r="E1165">
        <v>208</v>
      </c>
      <c r="F1165">
        <v>104200</v>
      </c>
      <c r="G1165">
        <v>10000</v>
      </c>
    </row>
    <row r="1166" spans="1:7" x14ac:dyDescent="0.25">
      <c r="A1166" s="5">
        <v>43548</v>
      </c>
      <c r="B1166" s="4" t="s">
        <v>76</v>
      </c>
      <c r="C1166" s="4" t="s">
        <v>72</v>
      </c>
      <c r="D1166" s="4" t="s">
        <v>55</v>
      </c>
      <c r="E1166">
        <v>138</v>
      </c>
      <c r="F1166">
        <v>68820</v>
      </c>
      <c r="G1166">
        <v>10000</v>
      </c>
    </row>
    <row r="1167" spans="1:7" x14ac:dyDescent="0.25">
      <c r="A1167" s="5">
        <v>43531</v>
      </c>
      <c r="B1167" s="4" t="s">
        <v>76</v>
      </c>
      <c r="C1167" s="4" t="s">
        <v>73</v>
      </c>
      <c r="D1167" s="4" t="s">
        <v>70</v>
      </c>
      <c r="E1167">
        <v>49</v>
      </c>
      <c r="F1167">
        <v>24435</v>
      </c>
      <c r="G1167">
        <v>10000</v>
      </c>
    </row>
    <row r="1168" spans="1:7" x14ac:dyDescent="0.25">
      <c r="A1168" s="5">
        <v>43531</v>
      </c>
      <c r="B1168" s="4" t="s">
        <v>76</v>
      </c>
      <c r="C1168" s="4" t="s">
        <v>73</v>
      </c>
      <c r="D1168" s="4" t="s">
        <v>63</v>
      </c>
      <c r="E1168">
        <v>27</v>
      </c>
      <c r="F1168">
        <v>13455</v>
      </c>
      <c r="G1168">
        <v>10000</v>
      </c>
    </row>
    <row r="1169" spans="1:7" x14ac:dyDescent="0.25">
      <c r="A1169" s="5">
        <v>43536</v>
      </c>
      <c r="B1169" s="4" t="s">
        <v>76</v>
      </c>
      <c r="C1169" s="4" t="s">
        <v>52</v>
      </c>
      <c r="D1169" s="4" t="s">
        <v>60</v>
      </c>
      <c r="E1169">
        <v>21</v>
      </c>
      <c r="F1169">
        <v>10440</v>
      </c>
      <c r="G1169">
        <v>10440</v>
      </c>
    </row>
    <row r="1170" spans="1:7" x14ac:dyDescent="0.25">
      <c r="A1170" s="5">
        <v>43536</v>
      </c>
      <c r="B1170" s="4" t="s">
        <v>76</v>
      </c>
      <c r="C1170" s="4" t="s">
        <v>72</v>
      </c>
      <c r="D1170" s="4" t="s">
        <v>55</v>
      </c>
      <c r="E1170">
        <v>170</v>
      </c>
      <c r="F1170">
        <v>84925</v>
      </c>
      <c r="G1170">
        <v>11500</v>
      </c>
    </row>
    <row r="1171" spans="1:7" x14ac:dyDescent="0.25">
      <c r="A1171" s="5">
        <v>43530</v>
      </c>
      <c r="B1171" s="4" t="s">
        <v>76</v>
      </c>
      <c r="C1171" s="4" t="s">
        <v>72</v>
      </c>
      <c r="D1171" s="4" t="s">
        <v>65</v>
      </c>
      <c r="E1171">
        <v>24</v>
      </c>
      <c r="F1171">
        <v>12200</v>
      </c>
      <c r="G1171">
        <v>12200</v>
      </c>
    </row>
    <row r="1172" spans="1:7" x14ac:dyDescent="0.25">
      <c r="A1172" s="5">
        <v>43527</v>
      </c>
      <c r="B1172" s="4" t="s">
        <v>76</v>
      </c>
      <c r="C1172" s="4" t="s">
        <v>72</v>
      </c>
      <c r="D1172" s="4" t="s">
        <v>67</v>
      </c>
      <c r="E1172">
        <v>126</v>
      </c>
      <c r="F1172">
        <v>63000</v>
      </c>
      <c r="G1172">
        <v>13000</v>
      </c>
    </row>
    <row r="1173" spans="1:7" x14ac:dyDescent="0.25">
      <c r="A1173" s="5">
        <v>43529</v>
      </c>
      <c r="B1173" s="4" t="s">
        <v>76</v>
      </c>
      <c r="C1173" s="4" t="s">
        <v>72</v>
      </c>
      <c r="D1173" s="4" t="s">
        <v>63</v>
      </c>
      <c r="E1173">
        <v>476</v>
      </c>
      <c r="F1173">
        <v>237970</v>
      </c>
      <c r="G1173">
        <v>13400</v>
      </c>
    </row>
    <row r="1174" spans="1:7" x14ac:dyDescent="0.25">
      <c r="A1174" s="5">
        <v>43536</v>
      </c>
      <c r="B1174" s="4" t="s">
        <v>76</v>
      </c>
      <c r="C1174" s="4" t="s">
        <v>52</v>
      </c>
      <c r="D1174" s="4" t="s">
        <v>61</v>
      </c>
      <c r="E1174">
        <v>27</v>
      </c>
      <c r="F1174">
        <v>13680</v>
      </c>
      <c r="G1174">
        <v>13680</v>
      </c>
    </row>
    <row r="1175" spans="1:7" x14ac:dyDescent="0.25">
      <c r="A1175" s="5">
        <v>43536</v>
      </c>
      <c r="B1175" s="4" t="s">
        <v>76</v>
      </c>
      <c r="C1175" s="4" t="s">
        <v>52</v>
      </c>
      <c r="D1175" s="4" t="s">
        <v>53</v>
      </c>
      <c r="E1175">
        <v>28</v>
      </c>
      <c r="F1175">
        <v>13990</v>
      </c>
      <c r="G1175">
        <v>13990</v>
      </c>
    </row>
    <row r="1176" spans="1:7" x14ac:dyDescent="0.25">
      <c r="A1176" s="5">
        <v>43526</v>
      </c>
      <c r="B1176" s="4" t="s">
        <v>76</v>
      </c>
      <c r="C1176" s="4" t="s">
        <v>72</v>
      </c>
      <c r="D1176" s="4" t="s">
        <v>55</v>
      </c>
      <c r="E1176">
        <v>52</v>
      </c>
      <c r="F1176">
        <v>25765</v>
      </c>
      <c r="G1176">
        <v>14000</v>
      </c>
    </row>
    <row r="1177" spans="1:7" x14ac:dyDescent="0.25">
      <c r="A1177" s="5">
        <v>43552</v>
      </c>
      <c r="B1177" s="4" t="s">
        <v>76</v>
      </c>
      <c r="C1177" s="4" t="s">
        <v>72</v>
      </c>
      <c r="D1177" s="4" t="s">
        <v>55</v>
      </c>
      <c r="E1177">
        <v>211</v>
      </c>
      <c r="F1177">
        <v>105710</v>
      </c>
      <c r="G1177">
        <v>14000</v>
      </c>
    </row>
    <row r="1178" spans="1:7" x14ac:dyDescent="0.25">
      <c r="A1178" s="5">
        <v>43525</v>
      </c>
      <c r="B1178" s="4" t="s">
        <v>76</v>
      </c>
      <c r="C1178" s="4" t="s">
        <v>52</v>
      </c>
      <c r="D1178" s="4" t="s">
        <v>55</v>
      </c>
      <c r="E1178">
        <v>165</v>
      </c>
      <c r="F1178">
        <v>82359</v>
      </c>
      <c r="G1178">
        <v>15000</v>
      </c>
    </row>
    <row r="1179" spans="1:7" x14ac:dyDescent="0.25">
      <c r="A1179" s="5">
        <v>43538</v>
      </c>
      <c r="B1179" s="4" t="s">
        <v>76</v>
      </c>
      <c r="C1179" s="4" t="s">
        <v>68</v>
      </c>
      <c r="D1179" s="4" t="s">
        <v>70</v>
      </c>
      <c r="E1179">
        <v>70</v>
      </c>
      <c r="F1179">
        <v>34810</v>
      </c>
      <c r="G1179">
        <v>15000</v>
      </c>
    </row>
    <row r="1180" spans="1:7" x14ac:dyDescent="0.25">
      <c r="A1180" s="5">
        <v>43545</v>
      </c>
      <c r="B1180" s="4" t="s">
        <v>76</v>
      </c>
      <c r="C1180" s="4" t="s">
        <v>68</v>
      </c>
      <c r="D1180" s="4" t="s">
        <v>56</v>
      </c>
      <c r="E1180">
        <v>114</v>
      </c>
      <c r="F1180">
        <v>56990</v>
      </c>
      <c r="G1180">
        <v>15000</v>
      </c>
    </row>
    <row r="1181" spans="1:7" x14ac:dyDescent="0.25">
      <c r="A1181" s="5">
        <v>43545</v>
      </c>
      <c r="B1181" s="4" t="s">
        <v>76</v>
      </c>
      <c r="C1181" s="4" t="s">
        <v>68</v>
      </c>
      <c r="D1181" s="4" t="s">
        <v>70</v>
      </c>
      <c r="E1181">
        <v>494</v>
      </c>
      <c r="F1181">
        <v>246810</v>
      </c>
      <c r="G1181">
        <v>15000</v>
      </c>
    </row>
    <row r="1182" spans="1:7" x14ac:dyDescent="0.25">
      <c r="A1182" s="5">
        <v>43526</v>
      </c>
      <c r="B1182" s="4" t="s">
        <v>76</v>
      </c>
      <c r="C1182" s="4" t="s">
        <v>72</v>
      </c>
      <c r="D1182" s="4" t="s">
        <v>54</v>
      </c>
      <c r="E1182">
        <v>58</v>
      </c>
      <c r="F1182">
        <v>29190</v>
      </c>
      <c r="G1182">
        <v>15000</v>
      </c>
    </row>
    <row r="1183" spans="1:7" x14ac:dyDescent="0.25">
      <c r="A1183" s="5">
        <v>43529</v>
      </c>
      <c r="B1183" s="4" t="s">
        <v>76</v>
      </c>
      <c r="C1183" s="4" t="s">
        <v>72</v>
      </c>
      <c r="D1183" s="4" t="s">
        <v>55</v>
      </c>
      <c r="E1183">
        <v>95</v>
      </c>
      <c r="F1183">
        <v>47275</v>
      </c>
      <c r="G1183">
        <v>15000</v>
      </c>
    </row>
    <row r="1184" spans="1:7" x14ac:dyDescent="0.25">
      <c r="A1184" s="5">
        <v>43540</v>
      </c>
      <c r="B1184" s="4" t="s">
        <v>76</v>
      </c>
      <c r="C1184" s="4" t="s">
        <v>72</v>
      </c>
      <c r="D1184" s="4" t="s">
        <v>54</v>
      </c>
      <c r="E1184">
        <v>84</v>
      </c>
      <c r="F1184">
        <v>41820</v>
      </c>
      <c r="G1184">
        <v>15000</v>
      </c>
    </row>
    <row r="1185" spans="1:7" x14ac:dyDescent="0.25">
      <c r="A1185" s="5">
        <v>43531</v>
      </c>
      <c r="B1185" s="4" t="s">
        <v>76</v>
      </c>
      <c r="C1185" s="4" t="s">
        <v>73</v>
      </c>
      <c r="D1185" s="4" t="s">
        <v>56</v>
      </c>
      <c r="E1185">
        <v>231</v>
      </c>
      <c r="F1185">
        <v>115320</v>
      </c>
      <c r="G1185">
        <v>15000</v>
      </c>
    </row>
    <row r="1186" spans="1:7" x14ac:dyDescent="0.25">
      <c r="A1186" s="5">
        <v>43545</v>
      </c>
      <c r="B1186" s="4" t="s">
        <v>76</v>
      </c>
      <c r="C1186" s="4" t="s">
        <v>73</v>
      </c>
      <c r="D1186" s="4" t="s">
        <v>71</v>
      </c>
      <c r="E1186">
        <v>545</v>
      </c>
      <c r="F1186">
        <v>272695</v>
      </c>
      <c r="G1186">
        <v>15000</v>
      </c>
    </row>
    <row r="1187" spans="1:7" x14ac:dyDescent="0.25">
      <c r="A1187" s="5">
        <v>43548</v>
      </c>
      <c r="B1187" s="4" t="s">
        <v>76</v>
      </c>
      <c r="C1187" s="4" t="s">
        <v>52</v>
      </c>
      <c r="D1187" s="4" t="s">
        <v>54</v>
      </c>
      <c r="E1187">
        <v>70</v>
      </c>
      <c r="F1187">
        <v>35067</v>
      </c>
      <c r="G1187">
        <v>18000</v>
      </c>
    </row>
    <row r="1188" spans="1:7" x14ac:dyDescent="0.25">
      <c r="A1188" s="5">
        <v>43545</v>
      </c>
      <c r="B1188" s="4" t="s">
        <v>76</v>
      </c>
      <c r="C1188" s="4" t="s">
        <v>68</v>
      </c>
      <c r="D1188" s="4" t="s">
        <v>55</v>
      </c>
      <c r="E1188">
        <v>78</v>
      </c>
      <c r="F1188">
        <v>39240</v>
      </c>
      <c r="G1188">
        <v>18710</v>
      </c>
    </row>
    <row r="1189" spans="1:7" x14ac:dyDescent="0.25">
      <c r="A1189" s="5">
        <v>43538</v>
      </c>
      <c r="B1189" s="4" t="s">
        <v>76</v>
      </c>
      <c r="C1189" s="4" t="s">
        <v>52</v>
      </c>
      <c r="D1189" s="4" t="s">
        <v>54</v>
      </c>
      <c r="E1189">
        <v>37</v>
      </c>
      <c r="F1189">
        <v>18730</v>
      </c>
      <c r="G1189">
        <v>18730</v>
      </c>
    </row>
    <row r="1190" spans="1:7" x14ac:dyDescent="0.25">
      <c r="A1190" s="5">
        <v>43548</v>
      </c>
      <c r="B1190" s="4" t="s">
        <v>76</v>
      </c>
      <c r="C1190" s="4" t="s">
        <v>52</v>
      </c>
      <c r="D1190" s="4" t="s">
        <v>61</v>
      </c>
      <c r="E1190">
        <v>77</v>
      </c>
      <c r="F1190">
        <v>38730</v>
      </c>
      <c r="G1190">
        <v>19000</v>
      </c>
    </row>
    <row r="1191" spans="1:7" x14ac:dyDescent="0.25">
      <c r="A1191" s="5">
        <v>43548</v>
      </c>
      <c r="B1191" s="4" t="s">
        <v>76</v>
      </c>
      <c r="C1191" s="4" t="s">
        <v>52</v>
      </c>
      <c r="D1191" s="4" t="s">
        <v>67</v>
      </c>
      <c r="E1191">
        <v>40</v>
      </c>
      <c r="F1191">
        <v>20055</v>
      </c>
      <c r="G1191">
        <v>20000</v>
      </c>
    </row>
    <row r="1192" spans="1:7" x14ac:dyDescent="0.25">
      <c r="A1192" s="5">
        <v>43538</v>
      </c>
      <c r="B1192" s="4" t="s">
        <v>76</v>
      </c>
      <c r="C1192" s="4" t="s">
        <v>68</v>
      </c>
      <c r="D1192" s="4" t="s">
        <v>63</v>
      </c>
      <c r="E1192">
        <v>126</v>
      </c>
      <c r="F1192">
        <v>63060</v>
      </c>
      <c r="G1192">
        <v>20000</v>
      </c>
    </row>
    <row r="1193" spans="1:7" x14ac:dyDescent="0.25">
      <c r="A1193" s="5">
        <v>43552</v>
      </c>
      <c r="B1193" s="4" t="s">
        <v>76</v>
      </c>
      <c r="C1193" s="4" t="s">
        <v>68</v>
      </c>
      <c r="D1193" s="4" t="s">
        <v>57</v>
      </c>
      <c r="E1193">
        <v>185</v>
      </c>
      <c r="F1193">
        <v>92360</v>
      </c>
      <c r="G1193">
        <v>20000</v>
      </c>
    </row>
    <row r="1194" spans="1:7" x14ac:dyDescent="0.25">
      <c r="A1194" s="5">
        <v>43531</v>
      </c>
      <c r="B1194" s="4" t="s">
        <v>76</v>
      </c>
      <c r="C1194" s="4" t="s">
        <v>68</v>
      </c>
      <c r="D1194" s="4" t="s">
        <v>59</v>
      </c>
      <c r="E1194">
        <v>312</v>
      </c>
      <c r="F1194">
        <v>155880</v>
      </c>
      <c r="G1194">
        <v>20000</v>
      </c>
    </row>
    <row r="1195" spans="1:7" x14ac:dyDescent="0.25">
      <c r="A1195" s="5">
        <v>43538</v>
      </c>
      <c r="B1195" s="4" t="s">
        <v>76</v>
      </c>
      <c r="C1195" s="4" t="s">
        <v>68</v>
      </c>
      <c r="D1195" s="4" t="s">
        <v>58</v>
      </c>
      <c r="E1195">
        <v>459</v>
      </c>
      <c r="F1195">
        <v>229420</v>
      </c>
      <c r="G1195">
        <v>20000</v>
      </c>
    </row>
    <row r="1196" spans="1:7" x14ac:dyDescent="0.25">
      <c r="A1196" s="5">
        <v>43532</v>
      </c>
      <c r="B1196" s="4" t="s">
        <v>76</v>
      </c>
      <c r="C1196" s="4" t="s">
        <v>72</v>
      </c>
      <c r="D1196" s="4" t="s">
        <v>54</v>
      </c>
      <c r="E1196">
        <v>86</v>
      </c>
      <c r="F1196">
        <v>42840</v>
      </c>
      <c r="G1196">
        <v>20000</v>
      </c>
    </row>
    <row r="1197" spans="1:7" x14ac:dyDescent="0.25">
      <c r="A1197" s="5">
        <v>43534</v>
      </c>
      <c r="B1197" s="4" t="s">
        <v>76</v>
      </c>
      <c r="C1197" s="4" t="s">
        <v>72</v>
      </c>
      <c r="D1197" s="4" t="s">
        <v>53</v>
      </c>
      <c r="E1197">
        <v>275</v>
      </c>
      <c r="F1197">
        <v>137290</v>
      </c>
      <c r="G1197">
        <v>20000</v>
      </c>
    </row>
    <row r="1198" spans="1:7" x14ac:dyDescent="0.25">
      <c r="A1198" s="5">
        <v>43531</v>
      </c>
      <c r="B1198" s="4" t="s">
        <v>76</v>
      </c>
      <c r="C1198" s="4" t="s">
        <v>73</v>
      </c>
      <c r="D1198" s="4" t="s">
        <v>66</v>
      </c>
      <c r="E1198">
        <v>200</v>
      </c>
      <c r="F1198">
        <v>99750</v>
      </c>
      <c r="G1198">
        <v>20000</v>
      </c>
    </row>
    <row r="1199" spans="1:7" x14ac:dyDescent="0.25">
      <c r="A1199" s="5">
        <v>43538</v>
      </c>
      <c r="B1199" s="4" t="s">
        <v>76</v>
      </c>
      <c r="C1199" s="4" t="s">
        <v>73</v>
      </c>
      <c r="D1199" s="4" t="s">
        <v>57</v>
      </c>
      <c r="E1199">
        <v>248</v>
      </c>
      <c r="F1199">
        <v>124170</v>
      </c>
      <c r="G1199">
        <v>20000</v>
      </c>
    </row>
    <row r="1200" spans="1:7" x14ac:dyDescent="0.25">
      <c r="A1200" s="5">
        <v>43538</v>
      </c>
      <c r="B1200" s="4" t="s">
        <v>76</v>
      </c>
      <c r="C1200" s="4" t="s">
        <v>73</v>
      </c>
      <c r="D1200" s="4" t="s">
        <v>66</v>
      </c>
      <c r="E1200">
        <v>119</v>
      </c>
      <c r="F1200">
        <v>59385</v>
      </c>
      <c r="G1200">
        <v>20000</v>
      </c>
    </row>
    <row r="1201" spans="1:7" x14ac:dyDescent="0.25">
      <c r="A1201" s="5">
        <v>43545</v>
      </c>
      <c r="B1201" s="4" t="s">
        <v>76</v>
      </c>
      <c r="C1201" s="4" t="s">
        <v>73</v>
      </c>
      <c r="D1201" s="4" t="s">
        <v>54</v>
      </c>
      <c r="E1201">
        <v>169</v>
      </c>
      <c r="F1201">
        <v>84385</v>
      </c>
      <c r="G1201">
        <v>20000</v>
      </c>
    </row>
    <row r="1202" spans="1:7" x14ac:dyDescent="0.25">
      <c r="A1202" s="5">
        <v>43530</v>
      </c>
      <c r="B1202" s="4" t="s">
        <v>76</v>
      </c>
      <c r="C1202" s="4" t="s">
        <v>72</v>
      </c>
      <c r="D1202" s="4" t="s">
        <v>55</v>
      </c>
      <c r="E1202">
        <v>44</v>
      </c>
      <c r="F1202">
        <v>21875</v>
      </c>
      <c r="G1202">
        <v>21000</v>
      </c>
    </row>
    <row r="1203" spans="1:7" x14ac:dyDescent="0.25">
      <c r="A1203" s="5">
        <v>43537</v>
      </c>
      <c r="B1203" s="4" t="s">
        <v>76</v>
      </c>
      <c r="C1203" s="4" t="s">
        <v>52</v>
      </c>
      <c r="D1203" s="4" t="s">
        <v>62</v>
      </c>
      <c r="E1203">
        <v>42</v>
      </c>
      <c r="F1203">
        <v>21200</v>
      </c>
      <c r="G1203">
        <v>21200</v>
      </c>
    </row>
    <row r="1204" spans="1:7" x14ac:dyDescent="0.25">
      <c r="A1204" s="5">
        <v>43543</v>
      </c>
      <c r="B1204" s="4" t="s">
        <v>76</v>
      </c>
      <c r="C1204" s="4" t="s">
        <v>72</v>
      </c>
      <c r="D1204" s="4" t="s">
        <v>55</v>
      </c>
      <c r="E1204">
        <v>190</v>
      </c>
      <c r="F1204">
        <v>94880</v>
      </c>
      <c r="G1204">
        <v>23500</v>
      </c>
    </row>
    <row r="1205" spans="1:7" x14ac:dyDescent="0.25">
      <c r="A1205" s="5">
        <v>43536</v>
      </c>
      <c r="B1205" s="4" t="s">
        <v>76</v>
      </c>
      <c r="C1205" s="4" t="s">
        <v>52</v>
      </c>
      <c r="D1205" s="4" t="s">
        <v>55</v>
      </c>
      <c r="E1205">
        <v>48</v>
      </c>
      <c r="F1205">
        <v>24211</v>
      </c>
      <c r="G1205">
        <v>25000</v>
      </c>
    </row>
    <row r="1206" spans="1:7" x14ac:dyDescent="0.25">
      <c r="A1206" s="5">
        <v>43544</v>
      </c>
      <c r="B1206" s="4" t="s">
        <v>76</v>
      </c>
      <c r="C1206" s="4" t="s">
        <v>52</v>
      </c>
      <c r="D1206" s="4" t="s">
        <v>53</v>
      </c>
      <c r="E1206">
        <v>130</v>
      </c>
      <c r="F1206">
        <v>65126</v>
      </c>
      <c r="G1206">
        <v>25000</v>
      </c>
    </row>
    <row r="1207" spans="1:7" x14ac:dyDescent="0.25">
      <c r="A1207" s="5">
        <v>43547</v>
      </c>
      <c r="B1207" s="4" t="s">
        <v>76</v>
      </c>
      <c r="C1207" s="4" t="s">
        <v>72</v>
      </c>
      <c r="D1207" s="4" t="s">
        <v>55</v>
      </c>
      <c r="E1207">
        <v>100</v>
      </c>
      <c r="F1207">
        <v>50070</v>
      </c>
      <c r="G1207">
        <v>25000</v>
      </c>
    </row>
    <row r="1208" spans="1:7" x14ac:dyDescent="0.25">
      <c r="A1208" s="5">
        <v>43531</v>
      </c>
      <c r="B1208" s="4" t="s">
        <v>76</v>
      </c>
      <c r="C1208" s="4" t="s">
        <v>68</v>
      </c>
      <c r="D1208" s="4" t="s">
        <v>65</v>
      </c>
      <c r="E1208">
        <v>37</v>
      </c>
      <c r="F1208">
        <v>18670</v>
      </c>
      <c r="G1208">
        <v>25770</v>
      </c>
    </row>
    <row r="1209" spans="1:7" x14ac:dyDescent="0.25">
      <c r="A1209" s="5">
        <v>43552</v>
      </c>
      <c r="B1209" s="4" t="s">
        <v>76</v>
      </c>
      <c r="C1209" s="4" t="s">
        <v>72</v>
      </c>
      <c r="D1209" s="4" t="s">
        <v>56</v>
      </c>
      <c r="E1209">
        <v>54</v>
      </c>
      <c r="F1209">
        <v>26900</v>
      </c>
      <c r="G1209">
        <v>26900</v>
      </c>
    </row>
    <row r="1210" spans="1:7" x14ac:dyDescent="0.25">
      <c r="A1210" s="5">
        <v>43540</v>
      </c>
      <c r="B1210" s="4" t="s">
        <v>76</v>
      </c>
      <c r="C1210" s="4" t="s">
        <v>52</v>
      </c>
      <c r="D1210" s="4" t="s">
        <v>54</v>
      </c>
      <c r="E1210">
        <v>55</v>
      </c>
      <c r="F1210">
        <v>27700</v>
      </c>
      <c r="G1210">
        <v>27700</v>
      </c>
    </row>
    <row r="1211" spans="1:7" x14ac:dyDescent="0.25">
      <c r="A1211" s="5">
        <v>43525</v>
      </c>
      <c r="B1211" s="4" t="s">
        <v>76</v>
      </c>
      <c r="C1211" s="4" t="s">
        <v>52</v>
      </c>
      <c r="D1211" s="4" t="s">
        <v>60</v>
      </c>
      <c r="E1211">
        <v>217</v>
      </c>
      <c r="F1211">
        <v>108341</v>
      </c>
      <c r="G1211">
        <v>30000</v>
      </c>
    </row>
    <row r="1212" spans="1:7" x14ac:dyDescent="0.25">
      <c r="A1212" s="5">
        <v>43529</v>
      </c>
      <c r="B1212" s="4" t="s">
        <v>76</v>
      </c>
      <c r="C1212" s="4" t="s">
        <v>52</v>
      </c>
      <c r="D1212" s="4" t="s">
        <v>55</v>
      </c>
      <c r="E1212">
        <v>20</v>
      </c>
      <c r="F1212">
        <v>10001</v>
      </c>
      <c r="G1212">
        <v>30000</v>
      </c>
    </row>
    <row r="1213" spans="1:7" x14ac:dyDescent="0.25">
      <c r="A1213" s="5">
        <v>43537</v>
      </c>
      <c r="B1213" s="4" t="s">
        <v>76</v>
      </c>
      <c r="C1213" s="4" t="s">
        <v>52</v>
      </c>
      <c r="D1213" s="4" t="s">
        <v>53</v>
      </c>
      <c r="E1213">
        <v>28</v>
      </c>
      <c r="F1213">
        <v>13970</v>
      </c>
      <c r="G1213">
        <v>30000</v>
      </c>
    </row>
    <row r="1214" spans="1:7" x14ac:dyDescent="0.25">
      <c r="A1214" s="5">
        <v>43538</v>
      </c>
      <c r="B1214" s="4" t="s">
        <v>76</v>
      </c>
      <c r="C1214" s="4" t="s">
        <v>68</v>
      </c>
      <c r="D1214" s="4" t="s">
        <v>55</v>
      </c>
      <c r="E1214">
        <v>102</v>
      </c>
      <c r="F1214">
        <v>51050</v>
      </c>
      <c r="G1214">
        <v>30000</v>
      </c>
    </row>
    <row r="1215" spans="1:7" x14ac:dyDescent="0.25">
      <c r="A1215" s="5">
        <v>43545</v>
      </c>
      <c r="B1215" s="4" t="s">
        <v>76</v>
      </c>
      <c r="C1215" s="4" t="s">
        <v>68</v>
      </c>
      <c r="D1215" s="4" t="s">
        <v>58</v>
      </c>
      <c r="E1215">
        <v>168</v>
      </c>
      <c r="F1215">
        <v>83980</v>
      </c>
      <c r="G1215">
        <v>30000</v>
      </c>
    </row>
    <row r="1216" spans="1:7" x14ac:dyDescent="0.25">
      <c r="A1216" s="5">
        <v>43538</v>
      </c>
      <c r="B1216" s="4" t="s">
        <v>76</v>
      </c>
      <c r="C1216" s="4" t="s">
        <v>68</v>
      </c>
      <c r="D1216" s="4" t="s">
        <v>59</v>
      </c>
      <c r="E1216">
        <v>177</v>
      </c>
      <c r="F1216">
        <v>88600</v>
      </c>
      <c r="G1216">
        <v>30000</v>
      </c>
    </row>
    <row r="1217" spans="1:7" x14ac:dyDescent="0.25">
      <c r="A1217" s="5">
        <v>43545</v>
      </c>
      <c r="B1217" s="4" t="s">
        <v>76</v>
      </c>
      <c r="C1217" s="4" t="s">
        <v>68</v>
      </c>
      <c r="D1217" s="4" t="s">
        <v>61</v>
      </c>
      <c r="E1217">
        <v>299</v>
      </c>
      <c r="F1217">
        <v>149360</v>
      </c>
      <c r="G1217">
        <v>30000</v>
      </c>
    </row>
    <row r="1218" spans="1:7" x14ac:dyDescent="0.25">
      <c r="A1218" s="5">
        <v>43531</v>
      </c>
      <c r="B1218" s="4" t="s">
        <v>76</v>
      </c>
      <c r="C1218" s="4" t="s">
        <v>68</v>
      </c>
      <c r="D1218" s="4" t="s">
        <v>54</v>
      </c>
      <c r="E1218">
        <v>332</v>
      </c>
      <c r="F1218">
        <v>165860</v>
      </c>
      <c r="G1218">
        <v>30000</v>
      </c>
    </row>
    <row r="1219" spans="1:7" x14ac:dyDescent="0.25">
      <c r="A1219" s="5">
        <v>43544</v>
      </c>
      <c r="B1219" s="4" t="s">
        <v>76</v>
      </c>
      <c r="C1219" s="4" t="s">
        <v>72</v>
      </c>
      <c r="D1219" s="4" t="s">
        <v>57</v>
      </c>
      <c r="E1219">
        <v>54</v>
      </c>
      <c r="F1219">
        <v>27120</v>
      </c>
      <c r="G1219">
        <v>30000</v>
      </c>
    </row>
    <row r="1220" spans="1:7" x14ac:dyDescent="0.25">
      <c r="A1220" s="5">
        <v>43545</v>
      </c>
      <c r="B1220" s="4" t="s">
        <v>76</v>
      </c>
      <c r="C1220" s="4" t="s">
        <v>73</v>
      </c>
      <c r="D1220" s="4" t="s">
        <v>66</v>
      </c>
      <c r="E1220">
        <v>97</v>
      </c>
      <c r="F1220">
        <v>48515</v>
      </c>
      <c r="G1220">
        <v>30000</v>
      </c>
    </row>
    <row r="1221" spans="1:7" x14ac:dyDescent="0.25">
      <c r="A1221" s="5">
        <v>43534</v>
      </c>
      <c r="B1221" s="4" t="s">
        <v>76</v>
      </c>
      <c r="C1221" s="4" t="s">
        <v>72</v>
      </c>
      <c r="D1221" s="4" t="s">
        <v>55</v>
      </c>
      <c r="E1221">
        <v>24</v>
      </c>
      <c r="F1221">
        <v>11827</v>
      </c>
      <c r="G1221">
        <v>30520</v>
      </c>
    </row>
    <row r="1222" spans="1:7" x14ac:dyDescent="0.25">
      <c r="A1222" s="5">
        <v>43538</v>
      </c>
      <c r="B1222" s="4" t="s">
        <v>76</v>
      </c>
      <c r="C1222" s="4" t="s">
        <v>68</v>
      </c>
      <c r="D1222" s="4" t="s">
        <v>55</v>
      </c>
      <c r="E1222">
        <v>119</v>
      </c>
      <c r="F1222">
        <v>59600</v>
      </c>
      <c r="G1222">
        <v>33390</v>
      </c>
    </row>
    <row r="1223" spans="1:7" x14ac:dyDescent="0.25">
      <c r="A1223" s="5">
        <v>43539</v>
      </c>
      <c r="B1223" s="4" t="s">
        <v>76</v>
      </c>
      <c r="C1223" s="4" t="s">
        <v>52</v>
      </c>
      <c r="D1223" s="4" t="s">
        <v>54</v>
      </c>
      <c r="E1223">
        <v>69</v>
      </c>
      <c r="F1223">
        <v>34490</v>
      </c>
      <c r="G1223">
        <v>34490</v>
      </c>
    </row>
    <row r="1224" spans="1:7" x14ac:dyDescent="0.25">
      <c r="A1224" s="5">
        <v>43544</v>
      </c>
      <c r="B1224" s="4" t="s">
        <v>76</v>
      </c>
      <c r="C1224" s="4" t="s">
        <v>52</v>
      </c>
      <c r="D1224" s="4" t="s">
        <v>55</v>
      </c>
      <c r="E1224">
        <v>173</v>
      </c>
      <c r="F1224">
        <v>86501</v>
      </c>
      <c r="G1224">
        <v>35000</v>
      </c>
    </row>
    <row r="1225" spans="1:7" x14ac:dyDescent="0.25">
      <c r="A1225" s="5">
        <v>43538</v>
      </c>
      <c r="B1225" s="4" t="s">
        <v>76</v>
      </c>
      <c r="C1225" s="4" t="s">
        <v>68</v>
      </c>
      <c r="D1225" s="4" t="s">
        <v>56</v>
      </c>
      <c r="E1225">
        <v>165</v>
      </c>
      <c r="F1225">
        <v>82520</v>
      </c>
      <c r="G1225">
        <v>40000</v>
      </c>
    </row>
    <row r="1226" spans="1:7" x14ac:dyDescent="0.25">
      <c r="A1226" s="5">
        <v>43538</v>
      </c>
      <c r="B1226" s="4" t="s">
        <v>76</v>
      </c>
      <c r="C1226" s="4" t="s">
        <v>68</v>
      </c>
      <c r="D1226" s="4" t="s">
        <v>67</v>
      </c>
      <c r="E1226">
        <v>171</v>
      </c>
      <c r="F1226">
        <v>85500</v>
      </c>
      <c r="G1226">
        <v>40000</v>
      </c>
    </row>
    <row r="1227" spans="1:7" x14ac:dyDescent="0.25">
      <c r="A1227" s="5">
        <v>43540</v>
      </c>
      <c r="B1227" s="4" t="s">
        <v>76</v>
      </c>
      <c r="C1227" s="4" t="s">
        <v>72</v>
      </c>
      <c r="D1227" s="4" t="s">
        <v>55</v>
      </c>
      <c r="E1227">
        <v>116</v>
      </c>
      <c r="F1227">
        <v>58165</v>
      </c>
      <c r="G1227">
        <v>40000</v>
      </c>
    </row>
    <row r="1228" spans="1:7" x14ac:dyDescent="0.25">
      <c r="A1228" s="5">
        <v>43538</v>
      </c>
      <c r="B1228" s="4" t="s">
        <v>76</v>
      </c>
      <c r="C1228" s="4" t="s">
        <v>73</v>
      </c>
      <c r="D1228" s="4" t="s">
        <v>56</v>
      </c>
      <c r="E1228">
        <v>136</v>
      </c>
      <c r="F1228">
        <v>68000</v>
      </c>
      <c r="G1228">
        <v>40000</v>
      </c>
    </row>
    <row r="1229" spans="1:7" x14ac:dyDescent="0.25">
      <c r="A1229" s="5">
        <v>43531</v>
      </c>
      <c r="B1229" s="4" t="s">
        <v>76</v>
      </c>
      <c r="C1229" s="4" t="s">
        <v>68</v>
      </c>
      <c r="D1229" s="4" t="s">
        <v>56</v>
      </c>
      <c r="E1229">
        <v>538</v>
      </c>
      <c r="F1229">
        <v>268900</v>
      </c>
      <c r="G1229">
        <v>41000</v>
      </c>
    </row>
    <row r="1230" spans="1:7" x14ac:dyDescent="0.25">
      <c r="A1230" s="5">
        <v>43544</v>
      </c>
      <c r="B1230" s="4" t="s">
        <v>76</v>
      </c>
      <c r="C1230" s="4" t="s">
        <v>72</v>
      </c>
      <c r="D1230" s="4" t="s">
        <v>65</v>
      </c>
      <c r="E1230">
        <v>29</v>
      </c>
      <c r="F1230">
        <v>14520</v>
      </c>
      <c r="G1230">
        <v>41200</v>
      </c>
    </row>
    <row r="1231" spans="1:7" x14ac:dyDescent="0.25">
      <c r="A1231" s="5">
        <v>43538</v>
      </c>
      <c r="B1231" s="4" t="s">
        <v>76</v>
      </c>
      <c r="C1231" s="4" t="s">
        <v>52</v>
      </c>
      <c r="D1231" s="4" t="s">
        <v>55</v>
      </c>
      <c r="E1231">
        <v>56</v>
      </c>
      <c r="F1231">
        <v>28150</v>
      </c>
      <c r="G1231">
        <v>43150</v>
      </c>
    </row>
    <row r="1232" spans="1:7" x14ac:dyDescent="0.25">
      <c r="A1232" s="5">
        <v>43538</v>
      </c>
      <c r="B1232" s="4" t="s">
        <v>76</v>
      </c>
      <c r="C1232" s="4" t="s">
        <v>68</v>
      </c>
      <c r="D1232" s="4" t="s">
        <v>71</v>
      </c>
      <c r="E1232">
        <v>214</v>
      </c>
      <c r="F1232">
        <v>106970</v>
      </c>
      <c r="G1232">
        <v>44300</v>
      </c>
    </row>
    <row r="1233" spans="1:7" x14ac:dyDescent="0.25">
      <c r="A1233" s="5">
        <v>43544</v>
      </c>
      <c r="B1233" s="4" t="s">
        <v>76</v>
      </c>
      <c r="C1233" s="4" t="s">
        <v>52</v>
      </c>
      <c r="D1233" s="4" t="s">
        <v>54</v>
      </c>
      <c r="E1233">
        <v>189</v>
      </c>
      <c r="F1233">
        <v>94285</v>
      </c>
      <c r="G1233">
        <v>45000</v>
      </c>
    </row>
    <row r="1234" spans="1:7" x14ac:dyDescent="0.25">
      <c r="A1234" s="5">
        <v>43539</v>
      </c>
      <c r="B1234" s="4" t="s">
        <v>76</v>
      </c>
      <c r="C1234" s="4" t="s">
        <v>52</v>
      </c>
      <c r="D1234" s="4" t="s">
        <v>53</v>
      </c>
      <c r="E1234">
        <v>145</v>
      </c>
      <c r="F1234">
        <v>72280</v>
      </c>
      <c r="G1234">
        <v>46000</v>
      </c>
    </row>
    <row r="1235" spans="1:7" x14ac:dyDescent="0.25">
      <c r="A1235" s="5">
        <v>43552</v>
      </c>
      <c r="B1235" s="4" t="s">
        <v>76</v>
      </c>
      <c r="C1235" s="4" t="s">
        <v>68</v>
      </c>
      <c r="D1235" s="4" t="s">
        <v>58</v>
      </c>
      <c r="E1235">
        <v>191</v>
      </c>
      <c r="F1235">
        <v>95410</v>
      </c>
      <c r="G1235">
        <v>47000</v>
      </c>
    </row>
    <row r="1236" spans="1:7" x14ac:dyDescent="0.25">
      <c r="A1236" s="5">
        <v>43537</v>
      </c>
      <c r="B1236" s="4" t="s">
        <v>76</v>
      </c>
      <c r="C1236" s="4" t="s">
        <v>52</v>
      </c>
      <c r="D1236" s="4" t="s">
        <v>59</v>
      </c>
      <c r="E1236">
        <v>97</v>
      </c>
      <c r="F1236">
        <v>48600</v>
      </c>
      <c r="G1236">
        <v>48600</v>
      </c>
    </row>
    <row r="1237" spans="1:7" x14ac:dyDescent="0.25">
      <c r="A1237" s="5">
        <v>43553</v>
      </c>
      <c r="B1237" s="4" t="s">
        <v>76</v>
      </c>
      <c r="C1237" s="4" t="s">
        <v>52</v>
      </c>
      <c r="D1237" s="4" t="s">
        <v>55</v>
      </c>
      <c r="E1237">
        <v>58</v>
      </c>
      <c r="F1237">
        <v>29000</v>
      </c>
      <c r="G1237">
        <v>49000</v>
      </c>
    </row>
    <row r="1238" spans="1:7" x14ac:dyDescent="0.25">
      <c r="A1238" s="5">
        <v>43545</v>
      </c>
      <c r="B1238" s="4" t="s">
        <v>76</v>
      </c>
      <c r="C1238" s="4" t="s">
        <v>73</v>
      </c>
      <c r="D1238" s="4" t="s">
        <v>54</v>
      </c>
      <c r="E1238">
        <v>473</v>
      </c>
      <c r="F1238">
        <v>236545</v>
      </c>
      <c r="G1238">
        <v>49000</v>
      </c>
    </row>
    <row r="1239" spans="1:7" x14ac:dyDescent="0.25">
      <c r="A1239" s="5">
        <v>43531</v>
      </c>
      <c r="B1239" s="4" t="s">
        <v>76</v>
      </c>
      <c r="C1239" s="4" t="s">
        <v>52</v>
      </c>
      <c r="D1239" s="4" t="s">
        <v>55</v>
      </c>
      <c r="E1239">
        <v>370</v>
      </c>
      <c r="F1239">
        <v>184812</v>
      </c>
      <c r="G1239">
        <v>50000</v>
      </c>
    </row>
    <row r="1240" spans="1:7" x14ac:dyDescent="0.25">
      <c r="A1240" s="5">
        <v>43540</v>
      </c>
      <c r="B1240" s="4" t="s">
        <v>76</v>
      </c>
      <c r="C1240" s="4" t="s">
        <v>52</v>
      </c>
      <c r="D1240" s="4" t="s">
        <v>61</v>
      </c>
      <c r="E1240">
        <v>294</v>
      </c>
      <c r="F1240">
        <v>146804</v>
      </c>
      <c r="G1240">
        <v>50000</v>
      </c>
    </row>
    <row r="1241" spans="1:7" x14ac:dyDescent="0.25">
      <c r="A1241" s="5">
        <v>43545</v>
      </c>
      <c r="B1241" s="4" t="s">
        <v>76</v>
      </c>
      <c r="C1241" s="4" t="s">
        <v>52</v>
      </c>
      <c r="D1241" s="4" t="s">
        <v>58</v>
      </c>
      <c r="E1241">
        <v>461</v>
      </c>
      <c r="F1241">
        <v>230415</v>
      </c>
      <c r="G1241">
        <v>50000</v>
      </c>
    </row>
    <row r="1242" spans="1:7" x14ac:dyDescent="0.25">
      <c r="A1242" s="5">
        <v>43551</v>
      </c>
      <c r="B1242" s="4" t="s">
        <v>76</v>
      </c>
      <c r="C1242" s="4" t="s">
        <v>52</v>
      </c>
      <c r="D1242" s="4" t="s">
        <v>53</v>
      </c>
      <c r="E1242">
        <v>129</v>
      </c>
      <c r="F1242">
        <v>64590</v>
      </c>
      <c r="G1242">
        <v>50000</v>
      </c>
    </row>
    <row r="1243" spans="1:7" x14ac:dyDescent="0.25">
      <c r="A1243" s="5">
        <v>43552</v>
      </c>
      <c r="B1243" s="4" t="s">
        <v>76</v>
      </c>
      <c r="C1243" s="4" t="s">
        <v>52</v>
      </c>
      <c r="D1243" s="4" t="s">
        <v>67</v>
      </c>
      <c r="E1243">
        <v>103</v>
      </c>
      <c r="F1243">
        <v>51615</v>
      </c>
      <c r="G1243">
        <v>50000</v>
      </c>
    </row>
    <row r="1244" spans="1:7" x14ac:dyDescent="0.25">
      <c r="A1244" s="5">
        <v>43554</v>
      </c>
      <c r="B1244" s="4" t="s">
        <v>76</v>
      </c>
      <c r="C1244" s="4" t="s">
        <v>52</v>
      </c>
      <c r="D1244" s="4" t="s">
        <v>60</v>
      </c>
      <c r="E1244">
        <v>395</v>
      </c>
      <c r="F1244">
        <v>197556</v>
      </c>
      <c r="G1244">
        <v>50000</v>
      </c>
    </row>
    <row r="1245" spans="1:7" x14ac:dyDescent="0.25">
      <c r="A1245" s="5">
        <v>43545</v>
      </c>
      <c r="B1245" s="4" t="s">
        <v>76</v>
      </c>
      <c r="C1245" s="4" t="s">
        <v>68</v>
      </c>
      <c r="D1245" s="4" t="s">
        <v>62</v>
      </c>
      <c r="E1245">
        <v>68</v>
      </c>
      <c r="F1245">
        <v>33840</v>
      </c>
      <c r="G1245">
        <v>50000</v>
      </c>
    </row>
    <row r="1246" spans="1:7" x14ac:dyDescent="0.25">
      <c r="A1246" s="5">
        <v>43538</v>
      </c>
      <c r="B1246" s="4" t="s">
        <v>76</v>
      </c>
      <c r="C1246" s="4" t="s">
        <v>68</v>
      </c>
      <c r="D1246" s="4" t="s">
        <v>61</v>
      </c>
      <c r="E1246">
        <v>132</v>
      </c>
      <c r="F1246">
        <v>66020</v>
      </c>
      <c r="G1246">
        <v>50000</v>
      </c>
    </row>
    <row r="1247" spans="1:7" x14ac:dyDescent="0.25">
      <c r="A1247" s="5">
        <v>43538</v>
      </c>
      <c r="B1247" s="4" t="s">
        <v>76</v>
      </c>
      <c r="C1247" s="4" t="s">
        <v>68</v>
      </c>
      <c r="D1247" s="4" t="s">
        <v>54</v>
      </c>
      <c r="E1247">
        <v>136</v>
      </c>
      <c r="F1247">
        <v>68030</v>
      </c>
      <c r="G1247">
        <v>50000</v>
      </c>
    </row>
    <row r="1248" spans="1:7" x14ac:dyDescent="0.25">
      <c r="A1248" s="5">
        <v>43538</v>
      </c>
      <c r="B1248" s="4" t="s">
        <v>76</v>
      </c>
      <c r="C1248" s="4" t="s">
        <v>68</v>
      </c>
      <c r="D1248" s="4" t="s">
        <v>70</v>
      </c>
      <c r="E1248">
        <v>136</v>
      </c>
      <c r="F1248">
        <v>67800</v>
      </c>
      <c r="G1248">
        <v>50000</v>
      </c>
    </row>
    <row r="1249" spans="1:7" x14ac:dyDescent="0.25">
      <c r="A1249" s="5">
        <v>43545</v>
      </c>
      <c r="B1249" s="4" t="s">
        <v>76</v>
      </c>
      <c r="C1249" s="4" t="s">
        <v>68</v>
      </c>
      <c r="D1249" s="4" t="s">
        <v>54</v>
      </c>
      <c r="E1249">
        <v>449</v>
      </c>
      <c r="F1249">
        <v>224390</v>
      </c>
      <c r="G1249">
        <v>50000</v>
      </c>
    </row>
    <row r="1250" spans="1:7" x14ac:dyDescent="0.25">
      <c r="A1250" s="5">
        <v>43545</v>
      </c>
      <c r="B1250" s="4" t="s">
        <v>76</v>
      </c>
      <c r="C1250" s="4" t="s">
        <v>68</v>
      </c>
      <c r="D1250" s="4" t="s">
        <v>57</v>
      </c>
      <c r="E1250">
        <v>479</v>
      </c>
      <c r="F1250">
        <v>239530</v>
      </c>
      <c r="G1250">
        <v>50000</v>
      </c>
    </row>
    <row r="1251" spans="1:7" x14ac:dyDescent="0.25">
      <c r="A1251" s="5">
        <v>43530</v>
      </c>
      <c r="B1251" s="4" t="s">
        <v>76</v>
      </c>
      <c r="C1251" s="4" t="s">
        <v>72</v>
      </c>
      <c r="D1251" s="4" t="s">
        <v>60</v>
      </c>
      <c r="E1251">
        <v>42</v>
      </c>
      <c r="F1251">
        <v>20970</v>
      </c>
      <c r="G1251">
        <v>50000</v>
      </c>
    </row>
    <row r="1252" spans="1:7" x14ac:dyDescent="0.25">
      <c r="A1252" s="5">
        <v>43531</v>
      </c>
      <c r="B1252" s="4" t="s">
        <v>76</v>
      </c>
      <c r="C1252" s="4" t="s">
        <v>73</v>
      </c>
      <c r="D1252" s="4" t="s">
        <v>57</v>
      </c>
      <c r="E1252">
        <v>415</v>
      </c>
      <c r="F1252">
        <v>207710</v>
      </c>
      <c r="G1252">
        <v>50000</v>
      </c>
    </row>
    <row r="1253" spans="1:7" x14ac:dyDescent="0.25">
      <c r="A1253" s="5">
        <v>43531</v>
      </c>
      <c r="B1253" s="4" t="s">
        <v>76</v>
      </c>
      <c r="C1253" s="4" t="s">
        <v>73</v>
      </c>
      <c r="D1253" s="4" t="s">
        <v>64</v>
      </c>
      <c r="E1253">
        <v>293</v>
      </c>
      <c r="F1253">
        <v>146715</v>
      </c>
      <c r="G1253">
        <v>50000</v>
      </c>
    </row>
    <row r="1254" spans="1:7" x14ac:dyDescent="0.25">
      <c r="A1254" s="5">
        <v>43531</v>
      </c>
      <c r="B1254" s="4" t="s">
        <v>76</v>
      </c>
      <c r="C1254" s="4" t="s">
        <v>73</v>
      </c>
      <c r="D1254" s="4" t="s">
        <v>57</v>
      </c>
      <c r="E1254">
        <v>960</v>
      </c>
      <c r="F1254">
        <v>480080</v>
      </c>
      <c r="G1254">
        <v>50000</v>
      </c>
    </row>
    <row r="1255" spans="1:7" x14ac:dyDescent="0.25">
      <c r="A1255" s="5">
        <v>43538</v>
      </c>
      <c r="B1255" s="4" t="s">
        <v>76</v>
      </c>
      <c r="C1255" s="4" t="s">
        <v>73</v>
      </c>
      <c r="D1255" s="4" t="s">
        <v>64</v>
      </c>
      <c r="E1255">
        <v>510</v>
      </c>
      <c r="F1255">
        <v>255230</v>
      </c>
      <c r="G1255">
        <v>50000</v>
      </c>
    </row>
    <row r="1256" spans="1:7" x14ac:dyDescent="0.25">
      <c r="A1256" s="5">
        <v>43545</v>
      </c>
      <c r="B1256" s="4" t="s">
        <v>76</v>
      </c>
      <c r="C1256" s="4" t="s">
        <v>73</v>
      </c>
      <c r="D1256" s="4" t="s">
        <v>57</v>
      </c>
      <c r="E1256">
        <v>160</v>
      </c>
      <c r="F1256">
        <v>79905</v>
      </c>
      <c r="G1256">
        <v>50000</v>
      </c>
    </row>
    <row r="1257" spans="1:7" x14ac:dyDescent="0.25">
      <c r="A1257" s="5">
        <v>43545</v>
      </c>
      <c r="B1257" s="4" t="s">
        <v>76</v>
      </c>
      <c r="C1257" s="4" t="s">
        <v>73</v>
      </c>
      <c r="D1257" s="4" t="s">
        <v>64</v>
      </c>
      <c r="E1257">
        <v>110</v>
      </c>
      <c r="F1257">
        <v>54835</v>
      </c>
      <c r="G1257">
        <v>50000</v>
      </c>
    </row>
    <row r="1258" spans="1:7" x14ac:dyDescent="0.25">
      <c r="A1258" s="5">
        <v>43539</v>
      </c>
      <c r="B1258" s="4" t="s">
        <v>76</v>
      </c>
      <c r="C1258" s="4" t="s">
        <v>52</v>
      </c>
      <c r="D1258" s="4" t="s">
        <v>54</v>
      </c>
      <c r="E1258">
        <v>101</v>
      </c>
      <c r="F1258">
        <v>50700</v>
      </c>
      <c r="G1258">
        <v>50700</v>
      </c>
    </row>
    <row r="1259" spans="1:7" x14ac:dyDescent="0.25">
      <c r="A1259" s="5">
        <v>43539</v>
      </c>
      <c r="B1259" s="4" t="s">
        <v>76</v>
      </c>
      <c r="C1259" s="4" t="s">
        <v>52</v>
      </c>
      <c r="D1259" s="4" t="s">
        <v>55</v>
      </c>
      <c r="E1259">
        <v>123</v>
      </c>
      <c r="F1259">
        <v>61505</v>
      </c>
      <c r="G1259">
        <v>55000</v>
      </c>
    </row>
    <row r="1260" spans="1:7" x14ac:dyDescent="0.25">
      <c r="A1260" s="5">
        <v>43531</v>
      </c>
      <c r="B1260" s="4" t="s">
        <v>76</v>
      </c>
      <c r="C1260" s="4" t="s">
        <v>68</v>
      </c>
      <c r="D1260" s="4" t="s">
        <v>63</v>
      </c>
      <c r="E1260">
        <v>141</v>
      </c>
      <c r="F1260">
        <v>70430</v>
      </c>
      <c r="G1260">
        <v>55000</v>
      </c>
    </row>
    <row r="1261" spans="1:7" x14ac:dyDescent="0.25">
      <c r="A1261" s="5">
        <v>43552</v>
      </c>
      <c r="B1261" s="4" t="s">
        <v>76</v>
      </c>
      <c r="C1261" s="4" t="s">
        <v>68</v>
      </c>
      <c r="D1261" s="4" t="s">
        <v>67</v>
      </c>
      <c r="E1261">
        <v>202</v>
      </c>
      <c r="F1261">
        <v>101250</v>
      </c>
      <c r="G1261">
        <v>55000</v>
      </c>
    </row>
    <row r="1262" spans="1:7" x14ac:dyDescent="0.25">
      <c r="A1262" s="5">
        <v>43538</v>
      </c>
      <c r="B1262" s="4" t="s">
        <v>76</v>
      </c>
      <c r="C1262" s="4" t="s">
        <v>68</v>
      </c>
      <c r="D1262" s="4" t="s">
        <v>63</v>
      </c>
      <c r="E1262">
        <v>291</v>
      </c>
      <c r="F1262">
        <v>145300</v>
      </c>
      <c r="G1262">
        <v>55300</v>
      </c>
    </row>
    <row r="1263" spans="1:7" x14ac:dyDescent="0.25">
      <c r="A1263" s="5">
        <v>43527</v>
      </c>
      <c r="B1263" s="4" t="s">
        <v>76</v>
      </c>
      <c r="C1263" s="4" t="s">
        <v>52</v>
      </c>
      <c r="D1263" s="4" t="s">
        <v>54</v>
      </c>
      <c r="E1263">
        <v>254</v>
      </c>
      <c r="F1263">
        <v>127109</v>
      </c>
      <c r="G1263">
        <v>60000</v>
      </c>
    </row>
    <row r="1264" spans="1:7" x14ac:dyDescent="0.25">
      <c r="A1264" s="5">
        <v>43538</v>
      </c>
      <c r="B1264" s="4" t="s">
        <v>76</v>
      </c>
      <c r="C1264" s="4" t="s">
        <v>68</v>
      </c>
      <c r="D1264" s="4" t="s">
        <v>56</v>
      </c>
      <c r="E1264">
        <v>251</v>
      </c>
      <c r="F1264">
        <v>125644</v>
      </c>
      <c r="G1264">
        <v>60600</v>
      </c>
    </row>
    <row r="1265" spans="1:7" x14ac:dyDescent="0.25">
      <c r="A1265" s="5">
        <v>43553</v>
      </c>
      <c r="B1265" s="4" t="s">
        <v>76</v>
      </c>
      <c r="C1265" s="4" t="s">
        <v>72</v>
      </c>
      <c r="D1265" s="4" t="s">
        <v>55</v>
      </c>
      <c r="E1265">
        <v>205</v>
      </c>
      <c r="F1265">
        <v>102596</v>
      </c>
      <c r="G1265">
        <v>60895</v>
      </c>
    </row>
    <row r="1266" spans="1:7" x14ac:dyDescent="0.25">
      <c r="A1266" s="5">
        <v>43545</v>
      </c>
      <c r="B1266" s="4" t="s">
        <v>76</v>
      </c>
      <c r="C1266" s="4" t="s">
        <v>73</v>
      </c>
      <c r="D1266" s="4" t="s">
        <v>60</v>
      </c>
      <c r="E1266">
        <v>154</v>
      </c>
      <c r="F1266">
        <v>76910</v>
      </c>
      <c r="G1266">
        <v>60900</v>
      </c>
    </row>
    <row r="1267" spans="1:7" x14ac:dyDescent="0.25">
      <c r="A1267" s="5">
        <v>43552</v>
      </c>
      <c r="B1267" s="4" t="s">
        <v>76</v>
      </c>
      <c r="C1267" s="4" t="s">
        <v>73</v>
      </c>
      <c r="D1267" s="4" t="s">
        <v>61</v>
      </c>
      <c r="E1267">
        <v>13</v>
      </c>
      <c r="F1267">
        <v>6640</v>
      </c>
      <c r="G1267">
        <v>62000</v>
      </c>
    </row>
    <row r="1268" spans="1:7" x14ac:dyDescent="0.25">
      <c r="A1268" s="5">
        <v>43548</v>
      </c>
      <c r="B1268" s="4" t="s">
        <v>76</v>
      </c>
      <c r="C1268" s="4" t="s">
        <v>52</v>
      </c>
      <c r="D1268" s="4" t="s">
        <v>60</v>
      </c>
      <c r="E1268">
        <v>105</v>
      </c>
      <c r="F1268">
        <v>52600</v>
      </c>
      <c r="G1268">
        <v>62600</v>
      </c>
    </row>
    <row r="1269" spans="1:7" x14ac:dyDescent="0.25">
      <c r="A1269" s="5">
        <v>43546</v>
      </c>
      <c r="B1269" s="4" t="s">
        <v>76</v>
      </c>
      <c r="C1269" s="4" t="s">
        <v>52</v>
      </c>
      <c r="D1269" s="4" t="s">
        <v>54</v>
      </c>
      <c r="E1269">
        <v>46</v>
      </c>
      <c r="F1269">
        <v>22800</v>
      </c>
      <c r="G1269">
        <v>62800</v>
      </c>
    </row>
    <row r="1270" spans="1:7" x14ac:dyDescent="0.25">
      <c r="A1270" s="5">
        <v>43543</v>
      </c>
      <c r="B1270" s="4" t="s">
        <v>76</v>
      </c>
      <c r="C1270" s="4" t="s">
        <v>52</v>
      </c>
      <c r="D1270" s="4" t="s">
        <v>53</v>
      </c>
      <c r="E1270">
        <v>27</v>
      </c>
      <c r="F1270">
        <v>13495</v>
      </c>
      <c r="G1270">
        <v>63495</v>
      </c>
    </row>
    <row r="1271" spans="1:7" x14ac:dyDescent="0.25">
      <c r="A1271" s="5">
        <v>43526</v>
      </c>
      <c r="B1271" s="4" t="s">
        <v>76</v>
      </c>
      <c r="C1271" s="4" t="s">
        <v>52</v>
      </c>
      <c r="D1271" s="4" t="s">
        <v>55</v>
      </c>
      <c r="E1271">
        <v>201</v>
      </c>
      <c r="F1271">
        <v>100639</v>
      </c>
      <c r="G1271">
        <v>65000</v>
      </c>
    </row>
    <row r="1272" spans="1:7" x14ac:dyDescent="0.25">
      <c r="A1272" s="5">
        <v>43537</v>
      </c>
      <c r="B1272" s="4" t="s">
        <v>76</v>
      </c>
      <c r="C1272" s="4" t="s">
        <v>72</v>
      </c>
      <c r="D1272" s="4" t="s">
        <v>55</v>
      </c>
      <c r="E1272">
        <v>150</v>
      </c>
      <c r="F1272">
        <v>75240</v>
      </c>
      <c r="G1272">
        <v>65000</v>
      </c>
    </row>
    <row r="1273" spans="1:7" x14ac:dyDescent="0.25">
      <c r="A1273" s="5">
        <v>43545</v>
      </c>
      <c r="B1273" s="4" t="s">
        <v>76</v>
      </c>
      <c r="C1273" s="4" t="s">
        <v>73</v>
      </c>
      <c r="D1273" s="4" t="s">
        <v>61</v>
      </c>
      <c r="E1273">
        <v>302</v>
      </c>
      <c r="F1273">
        <v>151100</v>
      </c>
      <c r="G1273">
        <v>65000</v>
      </c>
    </row>
    <row r="1274" spans="1:7" x14ac:dyDescent="0.25">
      <c r="A1274" s="5">
        <v>43545</v>
      </c>
      <c r="B1274" s="4" t="s">
        <v>76</v>
      </c>
      <c r="C1274" s="4" t="s">
        <v>73</v>
      </c>
      <c r="D1274" s="4" t="s">
        <v>57</v>
      </c>
      <c r="E1274">
        <v>160</v>
      </c>
      <c r="F1274">
        <v>79760</v>
      </c>
      <c r="G1274">
        <v>65000</v>
      </c>
    </row>
    <row r="1275" spans="1:7" x14ac:dyDescent="0.25">
      <c r="A1275" s="5">
        <v>43529</v>
      </c>
      <c r="B1275" s="4" t="s">
        <v>76</v>
      </c>
      <c r="C1275" s="4" t="s">
        <v>52</v>
      </c>
      <c r="D1275" s="4" t="s">
        <v>53</v>
      </c>
      <c r="E1275">
        <v>142</v>
      </c>
      <c r="F1275">
        <v>70995</v>
      </c>
      <c r="G1275">
        <v>65785</v>
      </c>
    </row>
    <row r="1276" spans="1:7" x14ac:dyDescent="0.25">
      <c r="A1276" s="5">
        <v>43545</v>
      </c>
      <c r="B1276" s="4" t="s">
        <v>76</v>
      </c>
      <c r="C1276" s="4" t="s">
        <v>52</v>
      </c>
      <c r="D1276" s="4" t="s">
        <v>55</v>
      </c>
      <c r="E1276">
        <v>252</v>
      </c>
      <c r="F1276">
        <v>125970</v>
      </c>
      <c r="G1276">
        <v>68970</v>
      </c>
    </row>
    <row r="1277" spans="1:7" x14ac:dyDescent="0.25">
      <c r="A1277" s="5">
        <v>43551</v>
      </c>
      <c r="B1277" s="4" t="s">
        <v>76</v>
      </c>
      <c r="C1277" s="4" t="s">
        <v>52</v>
      </c>
      <c r="D1277" s="4" t="s">
        <v>55</v>
      </c>
      <c r="E1277">
        <v>213</v>
      </c>
      <c r="F1277">
        <v>106556</v>
      </c>
      <c r="G1277">
        <v>69000</v>
      </c>
    </row>
    <row r="1278" spans="1:7" x14ac:dyDescent="0.25">
      <c r="A1278" s="5">
        <v>43531</v>
      </c>
      <c r="B1278" s="4" t="s">
        <v>76</v>
      </c>
      <c r="C1278" s="4" t="s">
        <v>68</v>
      </c>
      <c r="D1278" s="4" t="s">
        <v>58</v>
      </c>
      <c r="E1278">
        <v>532</v>
      </c>
      <c r="F1278">
        <v>265813</v>
      </c>
      <c r="G1278">
        <v>70000</v>
      </c>
    </row>
    <row r="1279" spans="1:7" x14ac:dyDescent="0.25">
      <c r="A1279" s="5">
        <v>43531</v>
      </c>
      <c r="B1279" s="4" t="s">
        <v>76</v>
      </c>
      <c r="C1279" s="4" t="s">
        <v>73</v>
      </c>
      <c r="D1279" s="4" t="s">
        <v>53</v>
      </c>
      <c r="E1279">
        <v>286</v>
      </c>
      <c r="F1279">
        <v>143200</v>
      </c>
      <c r="G1279">
        <v>73000</v>
      </c>
    </row>
    <row r="1280" spans="1:7" x14ac:dyDescent="0.25">
      <c r="A1280" s="5">
        <v>43552</v>
      </c>
      <c r="B1280" s="4" t="s">
        <v>76</v>
      </c>
      <c r="C1280" s="4" t="s">
        <v>68</v>
      </c>
      <c r="D1280" s="4" t="s">
        <v>56</v>
      </c>
      <c r="E1280">
        <v>221</v>
      </c>
      <c r="F1280">
        <v>110620</v>
      </c>
      <c r="G1280">
        <v>74300</v>
      </c>
    </row>
    <row r="1281" spans="1:7" x14ac:dyDescent="0.25">
      <c r="A1281" s="5">
        <v>43531</v>
      </c>
      <c r="B1281" s="4" t="s">
        <v>76</v>
      </c>
      <c r="C1281" s="4" t="s">
        <v>68</v>
      </c>
      <c r="D1281" s="4" t="s">
        <v>54</v>
      </c>
      <c r="E1281">
        <v>400</v>
      </c>
      <c r="F1281">
        <v>200020</v>
      </c>
      <c r="G1281">
        <v>75000</v>
      </c>
    </row>
    <row r="1282" spans="1:7" x14ac:dyDescent="0.25">
      <c r="A1282" s="5">
        <v>43545</v>
      </c>
      <c r="B1282" s="4" t="s">
        <v>76</v>
      </c>
      <c r="C1282" s="4" t="s">
        <v>68</v>
      </c>
      <c r="D1282" s="4" t="s">
        <v>56</v>
      </c>
      <c r="E1282">
        <v>306</v>
      </c>
      <c r="F1282">
        <v>153000</v>
      </c>
      <c r="G1282">
        <v>75200</v>
      </c>
    </row>
    <row r="1283" spans="1:7" x14ac:dyDescent="0.25">
      <c r="A1283" s="5">
        <v>43545</v>
      </c>
      <c r="B1283" s="4" t="s">
        <v>76</v>
      </c>
      <c r="C1283" s="4" t="s">
        <v>68</v>
      </c>
      <c r="D1283" s="4" t="s">
        <v>54</v>
      </c>
      <c r="E1283">
        <v>603</v>
      </c>
      <c r="F1283">
        <v>301700</v>
      </c>
      <c r="G1283">
        <v>80800</v>
      </c>
    </row>
    <row r="1284" spans="1:7" x14ac:dyDescent="0.25">
      <c r="A1284" s="5">
        <v>43547</v>
      </c>
      <c r="B1284" s="4" t="s">
        <v>76</v>
      </c>
      <c r="C1284" s="4" t="s">
        <v>52</v>
      </c>
      <c r="D1284" s="4" t="s">
        <v>55</v>
      </c>
      <c r="E1284">
        <v>213</v>
      </c>
      <c r="F1284">
        <v>106363</v>
      </c>
      <c r="G1284">
        <v>86300</v>
      </c>
    </row>
    <row r="1285" spans="1:7" x14ac:dyDescent="0.25">
      <c r="A1285" s="5">
        <v>43538</v>
      </c>
      <c r="B1285" s="4" t="s">
        <v>76</v>
      </c>
      <c r="C1285" s="4" t="s">
        <v>68</v>
      </c>
      <c r="D1285" s="4" t="s">
        <v>65</v>
      </c>
      <c r="E1285">
        <v>256</v>
      </c>
      <c r="F1285">
        <v>127840</v>
      </c>
      <c r="G1285">
        <v>89520</v>
      </c>
    </row>
    <row r="1286" spans="1:7" x14ac:dyDescent="0.25">
      <c r="A1286" s="5">
        <v>43536</v>
      </c>
      <c r="B1286" s="4" t="s">
        <v>76</v>
      </c>
      <c r="C1286" s="4" t="s">
        <v>52</v>
      </c>
      <c r="D1286" s="4" t="s">
        <v>64</v>
      </c>
      <c r="E1286">
        <v>482</v>
      </c>
      <c r="F1286">
        <v>240805</v>
      </c>
      <c r="G1286">
        <v>90000</v>
      </c>
    </row>
    <row r="1287" spans="1:7" x14ac:dyDescent="0.25">
      <c r="A1287" s="5">
        <v>43552</v>
      </c>
      <c r="B1287" s="4" t="s">
        <v>76</v>
      </c>
      <c r="C1287" s="4" t="s">
        <v>68</v>
      </c>
      <c r="D1287" s="4" t="s">
        <v>57</v>
      </c>
      <c r="E1287">
        <v>66</v>
      </c>
      <c r="F1287">
        <v>32960</v>
      </c>
      <c r="G1287">
        <v>90000</v>
      </c>
    </row>
    <row r="1288" spans="1:7" x14ac:dyDescent="0.25">
      <c r="A1288" s="5">
        <v>43531</v>
      </c>
      <c r="B1288" s="4" t="s">
        <v>76</v>
      </c>
      <c r="C1288" s="4" t="s">
        <v>73</v>
      </c>
      <c r="D1288" s="4" t="s">
        <v>55</v>
      </c>
      <c r="E1288">
        <v>2550</v>
      </c>
      <c r="F1288">
        <v>1274965</v>
      </c>
      <c r="G1288">
        <v>90000</v>
      </c>
    </row>
    <row r="1289" spans="1:7" x14ac:dyDescent="0.25">
      <c r="A1289" s="5">
        <v>43538</v>
      </c>
      <c r="B1289" s="4" t="s">
        <v>76</v>
      </c>
      <c r="C1289" s="4" t="s">
        <v>73</v>
      </c>
      <c r="D1289" s="4" t="s">
        <v>61</v>
      </c>
      <c r="E1289">
        <v>98</v>
      </c>
      <c r="F1289">
        <v>48895</v>
      </c>
      <c r="G1289">
        <v>98000</v>
      </c>
    </row>
    <row r="1290" spans="1:7" x14ac:dyDescent="0.25">
      <c r="A1290" s="5">
        <v>43530</v>
      </c>
      <c r="B1290" s="4" t="s">
        <v>76</v>
      </c>
      <c r="C1290" s="4" t="s">
        <v>52</v>
      </c>
      <c r="D1290" s="4" t="s">
        <v>53</v>
      </c>
      <c r="E1290">
        <v>363</v>
      </c>
      <c r="F1290">
        <v>181606</v>
      </c>
      <c r="G1290">
        <v>100000</v>
      </c>
    </row>
    <row r="1291" spans="1:7" x14ac:dyDescent="0.25">
      <c r="A1291" s="5">
        <v>43551</v>
      </c>
      <c r="B1291" s="4" t="s">
        <v>76</v>
      </c>
      <c r="C1291" s="4" t="s">
        <v>52</v>
      </c>
      <c r="D1291" s="4" t="s">
        <v>57</v>
      </c>
      <c r="E1291">
        <v>347</v>
      </c>
      <c r="F1291">
        <v>173720</v>
      </c>
      <c r="G1291">
        <v>100000</v>
      </c>
    </row>
    <row r="1292" spans="1:7" x14ac:dyDescent="0.25">
      <c r="A1292" s="5">
        <v>43551</v>
      </c>
      <c r="B1292" s="4" t="s">
        <v>76</v>
      </c>
      <c r="C1292" s="4" t="s">
        <v>52</v>
      </c>
      <c r="D1292" s="4" t="s">
        <v>53</v>
      </c>
      <c r="E1292">
        <v>79</v>
      </c>
      <c r="F1292">
        <v>39570</v>
      </c>
      <c r="G1292">
        <v>100000</v>
      </c>
    </row>
    <row r="1293" spans="1:7" x14ac:dyDescent="0.25">
      <c r="A1293" s="5">
        <v>43553</v>
      </c>
      <c r="B1293" s="4" t="s">
        <v>76</v>
      </c>
      <c r="C1293" s="4" t="s">
        <v>52</v>
      </c>
      <c r="D1293" s="4" t="s">
        <v>55</v>
      </c>
      <c r="E1293">
        <v>93</v>
      </c>
      <c r="F1293">
        <v>46683</v>
      </c>
      <c r="G1293">
        <v>100000</v>
      </c>
    </row>
    <row r="1294" spans="1:7" x14ac:dyDescent="0.25">
      <c r="A1294" s="5">
        <v>43538</v>
      </c>
      <c r="B1294" s="4" t="s">
        <v>76</v>
      </c>
      <c r="C1294" s="4" t="s">
        <v>73</v>
      </c>
      <c r="D1294" s="4" t="s">
        <v>54</v>
      </c>
      <c r="E1294">
        <v>60</v>
      </c>
      <c r="F1294">
        <v>29825</v>
      </c>
      <c r="G1294">
        <v>100000</v>
      </c>
    </row>
    <row r="1295" spans="1:7" x14ac:dyDescent="0.25">
      <c r="A1295" s="5">
        <v>43545</v>
      </c>
      <c r="B1295" s="4" t="s">
        <v>76</v>
      </c>
      <c r="C1295" s="4" t="s">
        <v>73</v>
      </c>
      <c r="D1295" s="4" t="s">
        <v>64</v>
      </c>
      <c r="E1295">
        <v>617</v>
      </c>
      <c r="F1295">
        <v>308690</v>
      </c>
      <c r="G1295">
        <v>100000</v>
      </c>
    </row>
    <row r="1296" spans="1:7" x14ac:dyDescent="0.25">
      <c r="A1296" s="5">
        <v>43545</v>
      </c>
      <c r="B1296" s="4" t="s">
        <v>76</v>
      </c>
      <c r="C1296" s="4" t="s">
        <v>73</v>
      </c>
      <c r="D1296" s="4" t="s">
        <v>55</v>
      </c>
      <c r="E1296">
        <v>734</v>
      </c>
      <c r="F1296">
        <v>367125</v>
      </c>
      <c r="G1296">
        <v>100000</v>
      </c>
    </row>
    <row r="1297" spans="1:7" x14ac:dyDescent="0.25">
      <c r="A1297" s="5">
        <v>43531</v>
      </c>
      <c r="B1297" s="4" t="s">
        <v>76</v>
      </c>
      <c r="C1297" s="4" t="s">
        <v>73</v>
      </c>
      <c r="D1297" s="4" t="s">
        <v>61</v>
      </c>
      <c r="E1297">
        <v>517</v>
      </c>
      <c r="F1297">
        <v>258340</v>
      </c>
      <c r="G1297">
        <v>103000</v>
      </c>
    </row>
    <row r="1298" spans="1:7" x14ac:dyDescent="0.25">
      <c r="A1298" s="5">
        <v>43538</v>
      </c>
      <c r="B1298" s="4" t="s">
        <v>76</v>
      </c>
      <c r="C1298" s="4" t="s">
        <v>68</v>
      </c>
      <c r="D1298" s="4" t="s">
        <v>57</v>
      </c>
      <c r="E1298">
        <v>181</v>
      </c>
      <c r="F1298">
        <v>90300</v>
      </c>
      <c r="G1298">
        <v>105800</v>
      </c>
    </row>
    <row r="1299" spans="1:7" x14ac:dyDescent="0.25">
      <c r="A1299" s="5">
        <v>43531</v>
      </c>
      <c r="B1299" s="4" t="s">
        <v>76</v>
      </c>
      <c r="C1299" s="4" t="s">
        <v>68</v>
      </c>
      <c r="D1299" s="4" t="s">
        <v>64</v>
      </c>
      <c r="E1299">
        <v>456</v>
      </c>
      <c r="F1299">
        <v>228250</v>
      </c>
      <c r="G1299">
        <v>120000</v>
      </c>
    </row>
    <row r="1300" spans="1:7" x14ac:dyDescent="0.25">
      <c r="A1300" s="5">
        <v>43552</v>
      </c>
      <c r="B1300" s="4" t="s">
        <v>76</v>
      </c>
      <c r="C1300" s="4" t="s">
        <v>52</v>
      </c>
      <c r="D1300" s="4" t="s">
        <v>53</v>
      </c>
      <c r="E1300">
        <v>283</v>
      </c>
      <c r="F1300">
        <v>141580</v>
      </c>
      <c r="G1300">
        <v>125000</v>
      </c>
    </row>
    <row r="1301" spans="1:7" x14ac:dyDescent="0.25">
      <c r="A1301" s="5">
        <v>43552</v>
      </c>
      <c r="B1301" s="4" t="s">
        <v>76</v>
      </c>
      <c r="C1301" s="4" t="s">
        <v>73</v>
      </c>
      <c r="D1301" s="4" t="s">
        <v>56</v>
      </c>
      <c r="E1301">
        <v>138</v>
      </c>
      <c r="F1301">
        <v>68900</v>
      </c>
      <c r="G1301">
        <v>130000</v>
      </c>
    </row>
    <row r="1302" spans="1:7" x14ac:dyDescent="0.25">
      <c r="A1302" s="5">
        <v>43552</v>
      </c>
      <c r="B1302" s="4" t="s">
        <v>76</v>
      </c>
      <c r="C1302" s="4" t="s">
        <v>68</v>
      </c>
      <c r="D1302" s="4" t="s">
        <v>70</v>
      </c>
      <c r="E1302">
        <v>168</v>
      </c>
      <c r="F1302">
        <v>83810</v>
      </c>
      <c r="G1302">
        <v>140000</v>
      </c>
    </row>
    <row r="1303" spans="1:7" x14ac:dyDescent="0.25">
      <c r="A1303" s="5">
        <v>43531</v>
      </c>
      <c r="B1303" s="4" t="s">
        <v>76</v>
      </c>
      <c r="C1303" s="4" t="s">
        <v>73</v>
      </c>
      <c r="D1303" s="4" t="s">
        <v>54</v>
      </c>
      <c r="E1303">
        <v>105</v>
      </c>
      <c r="F1303">
        <v>52650</v>
      </c>
      <c r="G1303">
        <v>150000</v>
      </c>
    </row>
    <row r="1304" spans="1:7" x14ac:dyDescent="0.25">
      <c r="A1304" s="5">
        <v>43552</v>
      </c>
      <c r="B1304" s="4" t="s">
        <v>76</v>
      </c>
      <c r="C1304" s="4" t="s">
        <v>68</v>
      </c>
      <c r="D1304" s="4" t="s">
        <v>55</v>
      </c>
      <c r="E1304">
        <v>124</v>
      </c>
      <c r="F1304">
        <v>61980</v>
      </c>
      <c r="G1304">
        <v>183950</v>
      </c>
    </row>
    <row r="1305" spans="1:7" x14ac:dyDescent="0.25">
      <c r="A1305" s="5">
        <v>43552</v>
      </c>
      <c r="B1305" s="4" t="s">
        <v>76</v>
      </c>
      <c r="C1305" s="4" t="s">
        <v>68</v>
      </c>
      <c r="D1305" s="4" t="s">
        <v>71</v>
      </c>
      <c r="E1305">
        <v>356</v>
      </c>
      <c r="F1305">
        <v>177920</v>
      </c>
      <c r="G1305">
        <v>192900</v>
      </c>
    </row>
    <row r="1306" spans="1:7" x14ac:dyDescent="0.25">
      <c r="A1306" s="5">
        <v>43538</v>
      </c>
      <c r="B1306" s="4" t="s">
        <v>76</v>
      </c>
      <c r="C1306" s="4" t="s">
        <v>73</v>
      </c>
      <c r="D1306" s="4" t="s">
        <v>57</v>
      </c>
      <c r="E1306">
        <v>1166</v>
      </c>
      <c r="F1306">
        <v>583230</v>
      </c>
      <c r="G1306">
        <v>200000</v>
      </c>
    </row>
    <row r="1307" spans="1:7" x14ac:dyDescent="0.25">
      <c r="A1307" s="5">
        <v>43552</v>
      </c>
      <c r="B1307" s="4" t="s">
        <v>76</v>
      </c>
      <c r="C1307" s="4" t="s">
        <v>73</v>
      </c>
      <c r="D1307" s="4" t="s">
        <v>61</v>
      </c>
      <c r="E1307">
        <v>190</v>
      </c>
      <c r="F1307">
        <v>94755</v>
      </c>
      <c r="G1307">
        <v>252600</v>
      </c>
    </row>
    <row r="1308" spans="1:7" x14ac:dyDescent="0.25">
      <c r="A1308" s="5">
        <v>43531</v>
      </c>
      <c r="B1308" s="4" t="s">
        <v>76</v>
      </c>
      <c r="C1308" s="4" t="s">
        <v>73</v>
      </c>
      <c r="D1308" s="4" t="s">
        <v>64</v>
      </c>
      <c r="E1308">
        <v>1457</v>
      </c>
      <c r="F1308">
        <v>728520</v>
      </c>
      <c r="G1308">
        <v>270000</v>
      </c>
    </row>
    <row r="1309" spans="1:7" x14ac:dyDescent="0.25">
      <c r="A1309" s="5">
        <v>43534</v>
      </c>
      <c r="B1309" s="4" t="s">
        <v>76</v>
      </c>
      <c r="C1309" s="4" t="s">
        <v>52</v>
      </c>
      <c r="D1309" s="4" t="s">
        <v>57</v>
      </c>
      <c r="E1309">
        <v>324</v>
      </c>
      <c r="F1309">
        <v>161910</v>
      </c>
      <c r="G1309">
        <v>300000</v>
      </c>
    </row>
    <row r="1310" spans="1:7" x14ac:dyDescent="0.25">
      <c r="A1310" s="5">
        <v>43545</v>
      </c>
      <c r="B1310" s="4" t="s">
        <v>76</v>
      </c>
      <c r="C1310" s="4" t="s">
        <v>73</v>
      </c>
      <c r="D1310" s="4" t="s">
        <v>57</v>
      </c>
      <c r="E1310">
        <v>417</v>
      </c>
      <c r="F1310">
        <v>208405</v>
      </c>
      <c r="G1310">
        <v>300000</v>
      </c>
    </row>
    <row r="1311" spans="1:7" x14ac:dyDescent="0.25">
      <c r="A1311" s="5">
        <v>43552</v>
      </c>
      <c r="B1311" s="4" t="s">
        <v>76</v>
      </c>
      <c r="C1311" s="4" t="s">
        <v>68</v>
      </c>
      <c r="D1311" s="4" t="s">
        <v>54</v>
      </c>
      <c r="E1311">
        <v>564</v>
      </c>
      <c r="F1311">
        <v>282230</v>
      </c>
      <c r="G1311">
        <v>305460</v>
      </c>
    </row>
    <row r="1312" spans="1:7" x14ac:dyDescent="0.25">
      <c r="A1312" s="5">
        <v>43552</v>
      </c>
      <c r="B1312" s="4" t="s">
        <v>76</v>
      </c>
      <c r="C1312" s="4" t="s">
        <v>68</v>
      </c>
      <c r="D1312" s="4" t="s">
        <v>54</v>
      </c>
      <c r="E1312">
        <v>270</v>
      </c>
      <c r="F1312">
        <v>134860</v>
      </c>
      <c r="G1312">
        <v>350000</v>
      </c>
    </row>
    <row r="1313" spans="1:7" x14ac:dyDescent="0.25">
      <c r="A1313" s="5">
        <v>43552</v>
      </c>
      <c r="B1313" s="4" t="s">
        <v>76</v>
      </c>
      <c r="C1313" s="4" t="s">
        <v>68</v>
      </c>
      <c r="D1313" s="4" t="s">
        <v>57</v>
      </c>
      <c r="E1313">
        <v>422</v>
      </c>
      <c r="F1313">
        <v>211230</v>
      </c>
      <c r="G1313">
        <v>365000</v>
      </c>
    </row>
    <row r="1314" spans="1:7" x14ac:dyDescent="0.25">
      <c r="A1314" s="5">
        <v>43552</v>
      </c>
      <c r="B1314" s="4" t="s">
        <v>76</v>
      </c>
      <c r="C1314" s="4" t="s">
        <v>68</v>
      </c>
      <c r="D1314" s="4" t="s">
        <v>61</v>
      </c>
      <c r="E1314">
        <v>534</v>
      </c>
      <c r="F1314">
        <v>267220</v>
      </c>
      <c r="G1314">
        <v>445300</v>
      </c>
    </row>
    <row r="1315" spans="1:7" x14ac:dyDescent="0.25">
      <c r="A1315" s="5">
        <v>43552</v>
      </c>
      <c r="B1315" s="4" t="s">
        <v>76</v>
      </c>
      <c r="C1315" s="4" t="s">
        <v>68</v>
      </c>
      <c r="D1315" s="4" t="s">
        <v>54</v>
      </c>
      <c r="E1315">
        <v>527</v>
      </c>
      <c r="F1315">
        <v>263340</v>
      </c>
      <c r="G1315">
        <v>479000</v>
      </c>
    </row>
    <row r="1316" spans="1:7" x14ac:dyDescent="0.25">
      <c r="A1316" s="5">
        <v>43538</v>
      </c>
      <c r="B1316" s="4" t="s">
        <v>76</v>
      </c>
      <c r="C1316" s="4" t="s">
        <v>68</v>
      </c>
      <c r="D1316" s="4" t="s">
        <v>54</v>
      </c>
      <c r="E1316">
        <v>96</v>
      </c>
      <c r="F1316">
        <v>48200</v>
      </c>
      <c r="G1316">
        <v>515500</v>
      </c>
    </row>
    <row r="1317" spans="1:7" x14ac:dyDescent="0.25">
      <c r="A1317" s="5">
        <v>43552</v>
      </c>
      <c r="B1317" s="4" t="s">
        <v>76</v>
      </c>
      <c r="C1317" s="4" t="s">
        <v>68</v>
      </c>
      <c r="D1317" s="4" t="s">
        <v>57</v>
      </c>
      <c r="E1317">
        <v>157</v>
      </c>
      <c r="F1317">
        <v>78690</v>
      </c>
      <c r="G1317">
        <v>796500</v>
      </c>
    </row>
    <row r="1318" spans="1:7" x14ac:dyDescent="0.25">
      <c r="A1318" s="5">
        <v>43552</v>
      </c>
      <c r="B1318" s="4" t="s">
        <v>76</v>
      </c>
      <c r="C1318" s="4" t="s">
        <v>68</v>
      </c>
      <c r="D1318" s="4" t="s">
        <v>53</v>
      </c>
      <c r="E1318">
        <v>392</v>
      </c>
      <c r="F1318">
        <v>195950</v>
      </c>
      <c r="G1318">
        <v>820000</v>
      </c>
    </row>
    <row r="1319" spans="1:7" x14ac:dyDescent="0.25">
      <c r="A1319" s="5">
        <v>43587</v>
      </c>
      <c r="B1319" s="4" t="s">
        <v>116</v>
      </c>
      <c r="C1319" s="4" t="s">
        <v>52</v>
      </c>
      <c r="D1319" s="4" t="s">
        <v>53</v>
      </c>
      <c r="E1319">
        <v>180</v>
      </c>
      <c r="F1319">
        <v>30812</v>
      </c>
      <c r="G1319">
        <v>56135</v>
      </c>
    </row>
    <row r="1320" spans="1:7" x14ac:dyDescent="0.25">
      <c r="A1320" s="5">
        <v>43587</v>
      </c>
      <c r="B1320" s="4" t="s">
        <v>116</v>
      </c>
      <c r="C1320" s="4" t="s">
        <v>52</v>
      </c>
      <c r="D1320" s="4" t="s">
        <v>54</v>
      </c>
      <c r="E1320">
        <v>410</v>
      </c>
      <c r="F1320">
        <v>104947</v>
      </c>
      <c r="G1320">
        <v>94975</v>
      </c>
    </row>
    <row r="1321" spans="1:7" x14ac:dyDescent="0.25">
      <c r="A1321" s="5">
        <v>43587</v>
      </c>
      <c r="B1321" s="4" t="s">
        <v>116</v>
      </c>
      <c r="C1321" s="4" t="s">
        <v>52</v>
      </c>
      <c r="D1321" s="4" t="s">
        <v>55</v>
      </c>
      <c r="E1321">
        <v>361</v>
      </c>
      <c r="F1321">
        <v>133458</v>
      </c>
      <c r="G1321">
        <v>43315</v>
      </c>
    </row>
    <row r="1322" spans="1:7" x14ac:dyDescent="0.25">
      <c r="A1322" s="5">
        <v>43587</v>
      </c>
      <c r="B1322" s="4" t="s">
        <v>116</v>
      </c>
      <c r="C1322" s="4" t="s">
        <v>52</v>
      </c>
      <c r="D1322" s="4" t="s">
        <v>56</v>
      </c>
      <c r="E1322">
        <v>262</v>
      </c>
      <c r="F1322">
        <v>91500</v>
      </c>
      <c r="G1322">
        <v>35600</v>
      </c>
    </row>
    <row r="1323" spans="1:7" x14ac:dyDescent="0.25">
      <c r="A1323" s="5">
        <v>43587</v>
      </c>
      <c r="B1323" s="4" t="s">
        <v>116</v>
      </c>
      <c r="C1323" s="4" t="s">
        <v>52</v>
      </c>
      <c r="D1323" s="4" t="s">
        <v>57</v>
      </c>
      <c r="E1323">
        <v>729</v>
      </c>
      <c r="F1323">
        <v>212786</v>
      </c>
      <c r="G1323">
        <v>145102</v>
      </c>
    </row>
    <row r="1324" spans="1:7" x14ac:dyDescent="0.25">
      <c r="A1324" s="5">
        <v>43588</v>
      </c>
      <c r="B1324" s="4" t="s">
        <v>116</v>
      </c>
      <c r="C1324" s="4" t="s">
        <v>52</v>
      </c>
      <c r="D1324" s="4" t="s">
        <v>55</v>
      </c>
      <c r="E1324">
        <v>186</v>
      </c>
      <c r="F1324">
        <v>46370</v>
      </c>
      <c r="G1324">
        <v>43315</v>
      </c>
    </row>
    <row r="1325" spans="1:7" x14ac:dyDescent="0.25">
      <c r="A1325" s="5">
        <v>43588</v>
      </c>
      <c r="B1325" s="4" t="s">
        <v>116</v>
      </c>
      <c r="C1325" s="4" t="s">
        <v>52</v>
      </c>
      <c r="D1325" s="4" t="s">
        <v>53</v>
      </c>
      <c r="E1325">
        <v>193</v>
      </c>
      <c r="F1325">
        <v>36801</v>
      </c>
      <c r="G1325">
        <v>2056185</v>
      </c>
    </row>
    <row r="1326" spans="1:7" x14ac:dyDescent="0.25">
      <c r="A1326" s="5">
        <v>43588</v>
      </c>
      <c r="B1326" s="4" t="s">
        <v>116</v>
      </c>
      <c r="C1326" s="4" t="s">
        <v>52</v>
      </c>
      <c r="D1326" s="4" t="s">
        <v>58</v>
      </c>
      <c r="E1326">
        <v>594</v>
      </c>
      <c r="F1326">
        <v>246907</v>
      </c>
      <c r="G1326">
        <v>197107</v>
      </c>
    </row>
    <row r="1327" spans="1:7" x14ac:dyDescent="0.25">
      <c r="A1327" s="5">
        <v>43589</v>
      </c>
      <c r="B1327" s="4" t="s">
        <v>116</v>
      </c>
      <c r="C1327" s="4" t="s">
        <v>52</v>
      </c>
      <c r="D1327" s="4" t="s">
        <v>56</v>
      </c>
      <c r="E1327">
        <v>412</v>
      </c>
      <c r="F1327">
        <v>166731</v>
      </c>
      <c r="G1327">
        <v>85660</v>
      </c>
    </row>
    <row r="1328" spans="1:7" x14ac:dyDescent="0.25">
      <c r="A1328" s="5">
        <v>43589</v>
      </c>
      <c r="B1328" s="4" t="s">
        <v>116</v>
      </c>
      <c r="C1328" s="4" t="s">
        <v>52</v>
      </c>
      <c r="D1328" s="4" t="s">
        <v>59</v>
      </c>
      <c r="E1328">
        <v>531</v>
      </c>
      <c r="F1328">
        <v>222824</v>
      </c>
      <c r="G1328">
        <v>40226</v>
      </c>
    </row>
    <row r="1329" spans="1:7" x14ac:dyDescent="0.25">
      <c r="A1329" s="5">
        <v>43589</v>
      </c>
      <c r="B1329" s="4" t="s">
        <v>116</v>
      </c>
      <c r="C1329" s="4" t="s">
        <v>52</v>
      </c>
      <c r="D1329" s="4" t="s">
        <v>54</v>
      </c>
      <c r="E1329">
        <v>431</v>
      </c>
      <c r="F1329">
        <v>115545</v>
      </c>
      <c r="G1329">
        <v>124975</v>
      </c>
    </row>
    <row r="1330" spans="1:7" x14ac:dyDescent="0.25">
      <c r="A1330" s="5">
        <v>43590</v>
      </c>
      <c r="B1330" s="4" t="s">
        <v>116</v>
      </c>
      <c r="C1330" s="4" t="s">
        <v>52</v>
      </c>
      <c r="D1330" s="4" t="s">
        <v>53</v>
      </c>
      <c r="E1330">
        <v>261</v>
      </c>
      <c r="F1330">
        <v>71120</v>
      </c>
      <c r="G1330">
        <v>96185</v>
      </c>
    </row>
    <row r="1331" spans="1:7" x14ac:dyDescent="0.25">
      <c r="A1331" s="5">
        <v>43590</v>
      </c>
      <c r="B1331" s="4" t="s">
        <v>116</v>
      </c>
      <c r="C1331" s="4" t="s">
        <v>52</v>
      </c>
      <c r="D1331" s="4" t="s">
        <v>60</v>
      </c>
      <c r="E1331">
        <v>311</v>
      </c>
      <c r="F1331">
        <v>75305</v>
      </c>
      <c r="G1331">
        <v>89652</v>
      </c>
    </row>
    <row r="1332" spans="1:7" x14ac:dyDescent="0.25">
      <c r="A1332" s="5">
        <v>43590</v>
      </c>
      <c r="B1332" s="4" t="s">
        <v>116</v>
      </c>
      <c r="C1332" s="4" t="s">
        <v>52</v>
      </c>
      <c r="D1332" s="4" t="s">
        <v>53</v>
      </c>
      <c r="E1332">
        <v>318</v>
      </c>
      <c r="F1332">
        <v>99609</v>
      </c>
      <c r="G1332">
        <v>106185</v>
      </c>
    </row>
    <row r="1333" spans="1:7" x14ac:dyDescent="0.25">
      <c r="A1333" s="5">
        <v>43590</v>
      </c>
      <c r="B1333" s="4" t="s">
        <v>116</v>
      </c>
      <c r="C1333" s="4" t="s">
        <v>52</v>
      </c>
      <c r="D1333" s="4" t="s">
        <v>56</v>
      </c>
      <c r="E1333">
        <v>174</v>
      </c>
      <c r="F1333">
        <v>99000</v>
      </c>
      <c r="G1333">
        <v>2035660</v>
      </c>
    </row>
    <row r="1334" spans="1:7" x14ac:dyDescent="0.25">
      <c r="A1334" s="5">
        <v>43591</v>
      </c>
      <c r="B1334" s="4" t="s">
        <v>116</v>
      </c>
      <c r="C1334" s="4" t="s">
        <v>52</v>
      </c>
      <c r="D1334" s="4" t="s">
        <v>61</v>
      </c>
      <c r="E1334">
        <v>211</v>
      </c>
      <c r="F1334">
        <v>105262</v>
      </c>
      <c r="G1334">
        <v>2046773</v>
      </c>
    </row>
    <row r="1335" spans="1:7" x14ac:dyDescent="0.25">
      <c r="A1335" s="5">
        <v>43591</v>
      </c>
      <c r="B1335" s="4" t="s">
        <v>116</v>
      </c>
      <c r="C1335" s="4" t="s">
        <v>52</v>
      </c>
      <c r="D1335" s="4" t="s">
        <v>55</v>
      </c>
      <c r="E1335">
        <v>188</v>
      </c>
      <c r="F1335">
        <v>47195</v>
      </c>
      <c r="G1335">
        <v>2043315</v>
      </c>
    </row>
    <row r="1336" spans="1:7" x14ac:dyDescent="0.25">
      <c r="A1336" s="5">
        <v>43592</v>
      </c>
      <c r="B1336" s="4" t="s">
        <v>116</v>
      </c>
      <c r="C1336" s="4" t="s">
        <v>52</v>
      </c>
      <c r="D1336" s="4" t="s">
        <v>55</v>
      </c>
      <c r="E1336">
        <v>132</v>
      </c>
      <c r="F1336">
        <v>19340</v>
      </c>
      <c r="G1336">
        <v>2043097</v>
      </c>
    </row>
    <row r="1337" spans="1:7" x14ac:dyDescent="0.25">
      <c r="A1337" s="5">
        <v>43592</v>
      </c>
      <c r="B1337" s="4" t="s">
        <v>116</v>
      </c>
      <c r="C1337" s="4" t="s">
        <v>52</v>
      </c>
      <c r="D1337" s="4" t="s">
        <v>53</v>
      </c>
      <c r="E1337">
        <v>288</v>
      </c>
      <c r="F1337">
        <v>84610</v>
      </c>
      <c r="G1337">
        <v>2056185</v>
      </c>
    </row>
    <row r="1338" spans="1:7" x14ac:dyDescent="0.25">
      <c r="A1338" s="5">
        <v>43594</v>
      </c>
      <c r="B1338" s="4" t="s">
        <v>116</v>
      </c>
      <c r="C1338" s="4" t="s">
        <v>52</v>
      </c>
      <c r="D1338" s="4" t="s">
        <v>55</v>
      </c>
      <c r="E1338">
        <v>516</v>
      </c>
      <c r="F1338">
        <v>211280</v>
      </c>
      <c r="G1338">
        <v>83315</v>
      </c>
    </row>
    <row r="1339" spans="1:7" x14ac:dyDescent="0.25">
      <c r="A1339" s="5">
        <v>43594</v>
      </c>
      <c r="B1339" s="4" t="s">
        <v>116</v>
      </c>
      <c r="C1339" s="4" t="s">
        <v>52</v>
      </c>
      <c r="D1339" s="4" t="s">
        <v>53</v>
      </c>
      <c r="E1339">
        <v>452</v>
      </c>
      <c r="F1339">
        <v>166485</v>
      </c>
      <c r="G1339">
        <v>76185</v>
      </c>
    </row>
    <row r="1340" spans="1:7" x14ac:dyDescent="0.25">
      <c r="A1340" s="5">
        <v>43594</v>
      </c>
      <c r="B1340" s="4" t="s">
        <v>116</v>
      </c>
      <c r="C1340" s="4" t="s">
        <v>52</v>
      </c>
      <c r="D1340" s="4" t="s">
        <v>55</v>
      </c>
      <c r="E1340">
        <v>245</v>
      </c>
      <c r="F1340">
        <v>75894</v>
      </c>
      <c r="G1340">
        <v>74315</v>
      </c>
    </row>
    <row r="1341" spans="1:7" x14ac:dyDescent="0.25">
      <c r="A1341" s="5">
        <v>43595</v>
      </c>
      <c r="B1341" s="4" t="s">
        <v>116</v>
      </c>
      <c r="C1341" s="4" t="s">
        <v>52</v>
      </c>
      <c r="D1341" s="4" t="s">
        <v>62</v>
      </c>
      <c r="E1341">
        <v>172</v>
      </c>
      <c r="F1341">
        <v>58213</v>
      </c>
      <c r="G1341">
        <v>50949</v>
      </c>
    </row>
    <row r="1342" spans="1:7" x14ac:dyDescent="0.25">
      <c r="A1342" s="5">
        <v>43596</v>
      </c>
      <c r="B1342" s="4" t="s">
        <v>116</v>
      </c>
      <c r="C1342" s="4" t="s">
        <v>52</v>
      </c>
      <c r="D1342" s="4" t="s">
        <v>61</v>
      </c>
      <c r="E1342">
        <v>236</v>
      </c>
      <c r="F1342">
        <v>67620</v>
      </c>
      <c r="G1342">
        <v>50855</v>
      </c>
    </row>
    <row r="1343" spans="1:7" x14ac:dyDescent="0.25">
      <c r="A1343" s="5">
        <v>43596</v>
      </c>
      <c r="B1343" s="4" t="s">
        <v>116</v>
      </c>
      <c r="C1343" s="4" t="s">
        <v>52</v>
      </c>
      <c r="D1343" s="4" t="s">
        <v>63</v>
      </c>
      <c r="E1343">
        <v>146</v>
      </c>
      <c r="F1343">
        <v>57180</v>
      </c>
      <c r="G1343">
        <v>85228</v>
      </c>
    </row>
    <row r="1344" spans="1:7" x14ac:dyDescent="0.25">
      <c r="A1344" s="5">
        <v>43596</v>
      </c>
      <c r="B1344" s="4" t="s">
        <v>116</v>
      </c>
      <c r="C1344" s="4" t="s">
        <v>52</v>
      </c>
      <c r="D1344" s="4" t="s">
        <v>64</v>
      </c>
      <c r="E1344">
        <v>868</v>
      </c>
      <c r="F1344">
        <v>189800</v>
      </c>
      <c r="G1344">
        <v>303595</v>
      </c>
    </row>
    <row r="1345" spans="1:7" x14ac:dyDescent="0.25">
      <c r="A1345" s="5">
        <v>43596</v>
      </c>
      <c r="B1345" s="4" t="s">
        <v>116</v>
      </c>
      <c r="C1345" s="4" t="s">
        <v>52</v>
      </c>
      <c r="D1345" s="4" t="s">
        <v>65</v>
      </c>
      <c r="E1345">
        <v>220</v>
      </c>
      <c r="F1345">
        <v>104943</v>
      </c>
      <c r="G1345">
        <v>13461</v>
      </c>
    </row>
    <row r="1346" spans="1:7" x14ac:dyDescent="0.25">
      <c r="A1346" s="5">
        <v>43596</v>
      </c>
      <c r="B1346" s="4" t="s">
        <v>116</v>
      </c>
      <c r="C1346" s="4" t="s">
        <v>52</v>
      </c>
      <c r="D1346" s="4" t="s">
        <v>54</v>
      </c>
      <c r="E1346">
        <v>299</v>
      </c>
      <c r="F1346">
        <v>49640</v>
      </c>
      <c r="G1346">
        <v>109975</v>
      </c>
    </row>
    <row r="1347" spans="1:7" x14ac:dyDescent="0.25">
      <c r="A1347" s="5">
        <v>43596</v>
      </c>
      <c r="B1347" s="4" t="s">
        <v>116</v>
      </c>
      <c r="C1347" s="4" t="s">
        <v>52</v>
      </c>
      <c r="D1347" s="4" t="s">
        <v>53</v>
      </c>
      <c r="E1347">
        <v>262</v>
      </c>
      <c r="F1347">
        <v>71526</v>
      </c>
      <c r="G1347">
        <v>2056185</v>
      </c>
    </row>
    <row r="1348" spans="1:7" x14ac:dyDescent="0.25">
      <c r="A1348" s="5">
        <v>43597</v>
      </c>
      <c r="B1348" s="4" t="s">
        <v>116</v>
      </c>
      <c r="C1348" s="4" t="s">
        <v>52</v>
      </c>
      <c r="D1348" s="4" t="s">
        <v>57</v>
      </c>
      <c r="E1348">
        <v>768</v>
      </c>
      <c r="F1348">
        <v>232260</v>
      </c>
      <c r="G1348">
        <v>2145215</v>
      </c>
    </row>
    <row r="1349" spans="1:7" x14ac:dyDescent="0.25">
      <c r="A1349" s="5">
        <v>43597</v>
      </c>
      <c r="B1349" s="4" t="s">
        <v>116</v>
      </c>
      <c r="C1349" s="4" t="s">
        <v>52</v>
      </c>
      <c r="D1349" s="4" t="s">
        <v>53</v>
      </c>
      <c r="E1349">
        <v>360</v>
      </c>
      <c r="F1349">
        <v>120599</v>
      </c>
      <c r="G1349">
        <v>116585</v>
      </c>
    </row>
    <row r="1350" spans="1:7" x14ac:dyDescent="0.25">
      <c r="A1350" s="5">
        <v>43597</v>
      </c>
      <c r="B1350" s="4" t="s">
        <v>116</v>
      </c>
      <c r="C1350" s="4" t="s">
        <v>52</v>
      </c>
      <c r="D1350" s="4" t="s">
        <v>53</v>
      </c>
      <c r="E1350">
        <v>539</v>
      </c>
      <c r="F1350">
        <v>210081</v>
      </c>
      <c r="G1350">
        <v>56185</v>
      </c>
    </row>
    <row r="1351" spans="1:7" x14ac:dyDescent="0.25">
      <c r="A1351" s="5">
        <v>43597</v>
      </c>
      <c r="B1351" s="4" t="s">
        <v>116</v>
      </c>
      <c r="C1351" s="4" t="s">
        <v>52</v>
      </c>
      <c r="D1351" s="4" t="s">
        <v>54</v>
      </c>
      <c r="E1351">
        <v>287</v>
      </c>
      <c r="F1351">
        <v>43460</v>
      </c>
      <c r="G1351">
        <v>102975</v>
      </c>
    </row>
    <row r="1352" spans="1:7" x14ac:dyDescent="0.25">
      <c r="A1352" s="5">
        <v>43598</v>
      </c>
      <c r="B1352" s="4" t="s">
        <v>116</v>
      </c>
      <c r="C1352" s="4" t="s">
        <v>52</v>
      </c>
      <c r="D1352" s="4" t="s">
        <v>60</v>
      </c>
      <c r="E1352">
        <v>562</v>
      </c>
      <c r="F1352">
        <v>186374</v>
      </c>
      <c r="G1352">
        <v>89675</v>
      </c>
    </row>
    <row r="1353" spans="1:7" x14ac:dyDescent="0.25">
      <c r="A1353" s="5">
        <v>43602</v>
      </c>
      <c r="B1353" s="4" t="s">
        <v>116</v>
      </c>
      <c r="C1353" s="4" t="s">
        <v>52</v>
      </c>
      <c r="D1353" s="4" t="s">
        <v>57</v>
      </c>
      <c r="E1353">
        <v>5302</v>
      </c>
      <c r="F1353">
        <v>2520899</v>
      </c>
      <c r="G1353">
        <v>145215</v>
      </c>
    </row>
    <row r="1354" spans="1:7" x14ac:dyDescent="0.25">
      <c r="A1354" s="5">
        <v>43602</v>
      </c>
      <c r="B1354" s="4" t="s">
        <v>116</v>
      </c>
      <c r="C1354" s="4" t="s">
        <v>52</v>
      </c>
      <c r="D1354" s="4" t="s">
        <v>66</v>
      </c>
      <c r="E1354">
        <v>180</v>
      </c>
      <c r="F1354">
        <v>62013</v>
      </c>
      <c r="G1354">
        <v>75914</v>
      </c>
    </row>
    <row r="1355" spans="1:7" x14ac:dyDescent="0.25">
      <c r="A1355" s="5">
        <v>43602</v>
      </c>
      <c r="B1355" s="4" t="s">
        <v>116</v>
      </c>
      <c r="C1355" s="4" t="s">
        <v>52</v>
      </c>
      <c r="D1355" s="4" t="s">
        <v>55</v>
      </c>
      <c r="E1355">
        <v>205</v>
      </c>
      <c r="F1355">
        <v>55890</v>
      </c>
      <c r="G1355">
        <v>43315</v>
      </c>
    </row>
    <row r="1356" spans="1:7" x14ac:dyDescent="0.25">
      <c r="A1356" s="5">
        <v>43602</v>
      </c>
      <c r="B1356" s="4" t="s">
        <v>116</v>
      </c>
      <c r="C1356" s="4" t="s">
        <v>52</v>
      </c>
      <c r="D1356" s="4" t="s">
        <v>54</v>
      </c>
      <c r="E1356">
        <v>924</v>
      </c>
      <c r="F1356">
        <v>361940</v>
      </c>
      <c r="G1356">
        <v>94975</v>
      </c>
    </row>
    <row r="1357" spans="1:7" x14ac:dyDescent="0.25">
      <c r="A1357" s="5">
        <v>43603</v>
      </c>
      <c r="B1357" s="4" t="s">
        <v>116</v>
      </c>
      <c r="C1357" s="4" t="s">
        <v>52</v>
      </c>
      <c r="D1357" s="4" t="s">
        <v>66</v>
      </c>
      <c r="E1357">
        <v>197</v>
      </c>
      <c r="F1357">
        <v>70457</v>
      </c>
      <c r="G1357">
        <v>70950</v>
      </c>
    </row>
    <row r="1358" spans="1:7" x14ac:dyDescent="0.25">
      <c r="A1358" s="5">
        <v>43603</v>
      </c>
      <c r="B1358" s="4" t="s">
        <v>116</v>
      </c>
      <c r="C1358" s="4" t="s">
        <v>52</v>
      </c>
      <c r="D1358" s="4" t="s">
        <v>57</v>
      </c>
      <c r="E1358">
        <v>643</v>
      </c>
      <c r="F1358">
        <v>169885</v>
      </c>
      <c r="G1358">
        <v>145215</v>
      </c>
    </row>
    <row r="1359" spans="1:7" x14ac:dyDescent="0.25">
      <c r="A1359" s="5">
        <v>43603</v>
      </c>
      <c r="B1359" s="4" t="s">
        <v>116</v>
      </c>
      <c r="C1359" s="4" t="s">
        <v>52</v>
      </c>
      <c r="D1359" s="4" t="s">
        <v>53</v>
      </c>
      <c r="E1359">
        <v>695</v>
      </c>
      <c r="F1359">
        <v>288152</v>
      </c>
      <c r="G1359">
        <v>156185</v>
      </c>
    </row>
    <row r="1360" spans="1:7" x14ac:dyDescent="0.25">
      <c r="A1360" s="5">
        <v>43603</v>
      </c>
      <c r="B1360" s="4" t="s">
        <v>116</v>
      </c>
      <c r="C1360" s="4" t="s">
        <v>52</v>
      </c>
      <c r="D1360" s="4" t="s">
        <v>61</v>
      </c>
      <c r="E1360">
        <v>188</v>
      </c>
      <c r="F1360">
        <v>43423</v>
      </c>
      <c r="G1360">
        <v>77655</v>
      </c>
    </row>
    <row r="1361" spans="1:7" x14ac:dyDescent="0.25">
      <c r="A1361" s="5">
        <v>43603</v>
      </c>
      <c r="B1361" s="4" t="s">
        <v>116</v>
      </c>
      <c r="C1361" s="4" t="s">
        <v>52</v>
      </c>
      <c r="D1361" s="4" t="s">
        <v>61</v>
      </c>
      <c r="E1361">
        <v>149</v>
      </c>
      <c r="F1361">
        <v>24140</v>
      </c>
      <c r="G1361">
        <v>53775</v>
      </c>
    </row>
    <row r="1362" spans="1:7" x14ac:dyDescent="0.25">
      <c r="A1362" s="5">
        <v>43603</v>
      </c>
      <c r="B1362" s="4" t="s">
        <v>116</v>
      </c>
      <c r="C1362" s="4" t="s">
        <v>52</v>
      </c>
      <c r="D1362" s="4" t="s">
        <v>62</v>
      </c>
      <c r="E1362">
        <v>120</v>
      </c>
      <c r="F1362">
        <v>31925</v>
      </c>
      <c r="G1362">
        <v>110975</v>
      </c>
    </row>
    <row r="1363" spans="1:7" x14ac:dyDescent="0.25">
      <c r="A1363" s="5">
        <v>43603</v>
      </c>
      <c r="B1363" s="4" t="s">
        <v>116</v>
      </c>
      <c r="C1363" s="4" t="s">
        <v>52</v>
      </c>
      <c r="D1363" s="4" t="s">
        <v>58</v>
      </c>
      <c r="E1363">
        <v>254</v>
      </c>
      <c r="F1363">
        <v>76778</v>
      </c>
      <c r="G1363">
        <v>66580</v>
      </c>
    </row>
    <row r="1364" spans="1:7" x14ac:dyDescent="0.25">
      <c r="A1364" s="5">
        <v>43603</v>
      </c>
      <c r="B1364" s="4" t="s">
        <v>116</v>
      </c>
      <c r="C1364" s="4" t="s">
        <v>52</v>
      </c>
      <c r="D1364" s="4" t="s">
        <v>55</v>
      </c>
      <c r="E1364">
        <v>181</v>
      </c>
      <c r="F1364">
        <v>43795</v>
      </c>
      <c r="G1364">
        <v>63815</v>
      </c>
    </row>
    <row r="1365" spans="1:7" x14ac:dyDescent="0.25">
      <c r="A1365" s="5">
        <v>43604</v>
      </c>
      <c r="B1365" s="4" t="s">
        <v>116</v>
      </c>
      <c r="C1365" s="4" t="s">
        <v>52</v>
      </c>
      <c r="D1365" s="4" t="s">
        <v>53</v>
      </c>
      <c r="E1365">
        <v>171</v>
      </c>
      <c r="F1365">
        <v>26230</v>
      </c>
      <c r="G1365">
        <v>60185</v>
      </c>
    </row>
    <row r="1366" spans="1:7" x14ac:dyDescent="0.25">
      <c r="A1366" s="5">
        <v>43605</v>
      </c>
      <c r="B1366" s="4" t="s">
        <v>116</v>
      </c>
      <c r="C1366" s="4" t="s">
        <v>52</v>
      </c>
      <c r="D1366" s="4" t="s">
        <v>55</v>
      </c>
      <c r="E1366">
        <v>525</v>
      </c>
      <c r="F1366">
        <v>215803</v>
      </c>
      <c r="G1366">
        <v>63315</v>
      </c>
    </row>
    <row r="1367" spans="1:7" x14ac:dyDescent="0.25">
      <c r="A1367" s="5">
        <v>43605</v>
      </c>
      <c r="B1367" s="4" t="s">
        <v>116</v>
      </c>
      <c r="C1367" s="4" t="s">
        <v>52</v>
      </c>
      <c r="D1367" s="4" t="s">
        <v>60</v>
      </c>
      <c r="E1367">
        <v>1225</v>
      </c>
      <c r="F1367">
        <v>518127</v>
      </c>
      <c r="G1367">
        <v>2089675</v>
      </c>
    </row>
    <row r="1368" spans="1:7" x14ac:dyDescent="0.25">
      <c r="A1368" s="5">
        <v>43605</v>
      </c>
      <c r="B1368" s="4" t="s">
        <v>116</v>
      </c>
      <c r="C1368" s="4" t="s">
        <v>52</v>
      </c>
      <c r="D1368" s="4" t="s">
        <v>67</v>
      </c>
      <c r="E1368">
        <v>426</v>
      </c>
      <c r="F1368">
        <v>167880</v>
      </c>
      <c r="G1368">
        <v>2041025</v>
      </c>
    </row>
    <row r="1369" spans="1:7" x14ac:dyDescent="0.25">
      <c r="A1369" s="5">
        <v>43605</v>
      </c>
      <c r="B1369" s="4" t="s">
        <v>116</v>
      </c>
      <c r="C1369" s="4" t="s">
        <v>52</v>
      </c>
      <c r="D1369" s="4" t="s">
        <v>64</v>
      </c>
      <c r="E1369">
        <v>861</v>
      </c>
      <c r="F1369">
        <v>186522</v>
      </c>
      <c r="G1369">
        <v>2233595</v>
      </c>
    </row>
    <row r="1370" spans="1:7" x14ac:dyDescent="0.25">
      <c r="A1370" s="5">
        <v>43606</v>
      </c>
      <c r="B1370" s="4" t="s">
        <v>116</v>
      </c>
      <c r="C1370" s="4" t="s">
        <v>52</v>
      </c>
      <c r="D1370" s="4" t="s">
        <v>55</v>
      </c>
      <c r="E1370">
        <v>274</v>
      </c>
      <c r="F1370">
        <v>90614</v>
      </c>
      <c r="G1370">
        <v>53315</v>
      </c>
    </row>
    <row r="1371" spans="1:7" x14ac:dyDescent="0.25">
      <c r="A1371" s="5">
        <v>43606</v>
      </c>
      <c r="B1371" s="4" t="s">
        <v>116</v>
      </c>
      <c r="C1371" s="4" t="s">
        <v>52</v>
      </c>
      <c r="D1371" s="4" t="s">
        <v>58</v>
      </c>
      <c r="E1371">
        <v>272</v>
      </c>
      <c r="F1371">
        <v>85675</v>
      </c>
      <c r="G1371">
        <v>47130</v>
      </c>
    </row>
    <row r="1372" spans="1:7" x14ac:dyDescent="0.25">
      <c r="A1372" s="5">
        <v>43606</v>
      </c>
      <c r="B1372" s="4" t="s">
        <v>116</v>
      </c>
      <c r="C1372" s="4" t="s">
        <v>52</v>
      </c>
      <c r="D1372" s="4" t="s">
        <v>53</v>
      </c>
      <c r="E1372">
        <v>518</v>
      </c>
      <c r="F1372">
        <v>199746</v>
      </c>
      <c r="G1372">
        <v>56185</v>
      </c>
    </row>
    <row r="1373" spans="1:7" x14ac:dyDescent="0.25">
      <c r="A1373" s="5">
        <v>43608</v>
      </c>
      <c r="B1373" s="4" t="s">
        <v>116</v>
      </c>
      <c r="C1373" s="4" t="s">
        <v>52</v>
      </c>
      <c r="D1373" s="4" t="s">
        <v>60</v>
      </c>
      <c r="E1373">
        <v>836</v>
      </c>
      <c r="F1373">
        <v>323570</v>
      </c>
      <c r="G1373">
        <v>89675</v>
      </c>
    </row>
    <row r="1374" spans="1:7" x14ac:dyDescent="0.25">
      <c r="A1374" s="5">
        <v>43608</v>
      </c>
      <c r="B1374" s="4" t="s">
        <v>116</v>
      </c>
      <c r="C1374" s="4" t="s">
        <v>52</v>
      </c>
      <c r="D1374" s="4" t="s">
        <v>58</v>
      </c>
      <c r="E1374">
        <v>339</v>
      </c>
      <c r="F1374">
        <v>119073</v>
      </c>
      <c r="G1374">
        <v>47130</v>
      </c>
    </row>
    <row r="1375" spans="1:7" x14ac:dyDescent="0.25">
      <c r="A1375" s="5">
        <v>43608</v>
      </c>
      <c r="B1375" s="4" t="s">
        <v>116</v>
      </c>
      <c r="C1375" s="4" t="s">
        <v>52</v>
      </c>
      <c r="D1375" s="4" t="s">
        <v>53</v>
      </c>
      <c r="E1375">
        <v>413</v>
      </c>
      <c r="F1375">
        <v>147235</v>
      </c>
      <c r="G1375">
        <v>56185</v>
      </c>
    </row>
    <row r="1376" spans="1:7" x14ac:dyDescent="0.25">
      <c r="A1376" s="5">
        <v>43609</v>
      </c>
      <c r="B1376" s="4" t="s">
        <v>116</v>
      </c>
      <c r="C1376" s="4" t="s">
        <v>52</v>
      </c>
      <c r="D1376" s="4" t="s">
        <v>57</v>
      </c>
      <c r="E1376">
        <v>1117</v>
      </c>
      <c r="F1376">
        <v>406957</v>
      </c>
      <c r="G1376">
        <v>145215</v>
      </c>
    </row>
    <row r="1377" spans="1:7" x14ac:dyDescent="0.25">
      <c r="A1377" s="5">
        <v>43609</v>
      </c>
      <c r="B1377" s="4" t="s">
        <v>116</v>
      </c>
      <c r="C1377" s="4" t="s">
        <v>52</v>
      </c>
      <c r="D1377" s="4" t="s">
        <v>53</v>
      </c>
      <c r="E1377">
        <v>583</v>
      </c>
      <c r="F1377">
        <v>232070</v>
      </c>
      <c r="G1377">
        <v>116185</v>
      </c>
    </row>
    <row r="1378" spans="1:7" x14ac:dyDescent="0.25">
      <c r="A1378" s="5">
        <v>43610</v>
      </c>
      <c r="B1378" s="4" t="s">
        <v>116</v>
      </c>
      <c r="C1378" s="4" t="s">
        <v>52</v>
      </c>
      <c r="D1378" s="4" t="s">
        <v>57</v>
      </c>
      <c r="E1378">
        <v>1796</v>
      </c>
      <c r="F1378">
        <v>746301</v>
      </c>
      <c r="G1378">
        <v>2145215</v>
      </c>
    </row>
    <row r="1379" spans="1:7" x14ac:dyDescent="0.25">
      <c r="A1379" s="5">
        <v>43610</v>
      </c>
      <c r="B1379" s="4" t="s">
        <v>116</v>
      </c>
      <c r="C1379" s="4" t="s">
        <v>52</v>
      </c>
      <c r="D1379" s="4" t="s">
        <v>55</v>
      </c>
      <c r="E1379">
        <v>606</v>
      </c>
      <c r="F1379">
        <v>256199</v>
      </c>
      <c r="G1379">
        <v>2043315</v>
      </c>
    </row>
    <row r="1380" spans="1:7" x14ac:dyDescent="0.25">
      <c r="A1380" s="5">
        <v>43610</v>
      </c>
      <c r="B1380" s="4" t="s">
        <v>116</v>
      </c>
      <c r="C1380" s="4" t="s">
        <v>52</v>
      </c>
      <c r="D1380" s="4" t="s">
        <v>62</v>
      </c>
      <c r="E1380">
        <v>750</v>
      </c>
      <c r="F1380">
        <v>347170</v>
      </c>
      <c r="G1380">
        <v>2025975</v>
      </c>
    </row>
    <row r="1381" spans="1:7" x14ac:dyDescent="0.25">
      <c r="A1381" s="5">
        <v>43611</v>
      </c>
      <c r="B1381" s="4" t="s">
        <v>116</v>
      </c>
      <c r="C1381" s="4" t="s">
        <v>52</v>
      </c>
      <c r="D1381" s="4" t="s">
        <v>55</v>
      </c>
      <c r="E1381">
        <v>282</v>
      </c>
      <c r="F1381">
        <v>94364</v>
      </c>
      <c r="G1381">
        <v>123315</v>
      </c>
    </row>
    <row r="1382" spans="1:7" x14ac:dyDescent="0.25">
      <c r="A1382" s="5">
        <v>43611</v>
      </c>
      <c r="B1382" s="4" t="s">
        <v>116</v>
      </c>
      <c r="C1382" s="4" t="s">
        <v>52</v>
      </c>
      <c r="D1382" s="4" t="s">
        <v>55</v>
      </c>
      <c r="E1382">
        <v>1364</v>
      </c>
      <c r="F1382">
        <v>635220</v>
      </c>
      <c r="G1382">
        <v>93315</v>
      </c>
    </row>
    <row r="1383" spans="1:7" x14ac:dyDescent="0.25">
      <c r="A1383" s="5">
        <v>43611</v>
      </c>
      <c r="B1383" s="4" t="s">
        <v>116</v>
      </c>
      <c r="C1383" s="4" t="s">
        <v>52</v>
      </c>
      <c r="D1383" s="4" t="s">
        <v>62</v>
      </c>
      <c r="E1383">
        <v>223</v>
      </c>
      <c r="F1383">
        <v>83361</v>
      </c>
      <c r="G1383">
        <v>45975</v>
      </c>
    </row>
    <row r="1384" spans="1:7" x14ac:dyDescent="0.25">
      <c r="A1384" s="5">
        <v>43612</v>
      </c>
      <c r="B1384" s="4" t="s">
        <v>116</v>
      </c>
      <c r="C1384" s="4" t="s">
        <v>52</v>
      </c>
      <c r="D1384" s="4" t="s">
        <v>55</v>
      </c>
      <c r="E1384">
        <v>156</v>
      </c>
      <c r="F1384">
        <v>31195</v>
      </c>
      <c r="G1384">
        <v>43315</v>
      </c>
    </row>
    <row r="1385" spans="1:7" x14ac:dyDescent="0.25">
      <c r="A1385" s="5">
        <v>43612</v>
      </c>
      <c r="B1385" s="4" t="s">
        <v>116</v>
      </c>
      <c r="C1385" s="4" t="s">
        <v>52</v>
      </c>
      <c r="D1385" s="4" t="s">
        <v>57</v>
      </c>
      <c r="E1385">
        <v>487</v>
      </c>
      <c r="F1385">
        <v>92065</v>
      </c>
      <c r="G1385">
        <v>168915</v>
      </c>
    </row>
    <row r="1386" spans="1:7" x14ac:dyDescent="0.25">
      <c r="A1386" s="5">
        <v>43613</v>
      </c>
      <c r="B1386" s="4" t="s">
        <v>116</v>
      </c>
      <c r="C1386" s="4" t="s">
        <v>52</v>
      </c>
      <c r="D1386" s="4" t="s">
        <v>54</v>
      </c>
      <c r="E1386">
        <v>320</v>
      </c>
      <c r="F1386">
        <v>59950</v>
      </c>
      <c r="G1386">
        <v>94975</v>
      </c>
    </row>
    <row r="1387" spans="1:7" x14ac:dyDescent="0.25">
      <c r="A1387" s="5">
        <v>43611</v>
      </c>
      <c r="B1387" s="4" t="s">
        <v>116</v>
      </c>
      <c r="C1387" s="4" t="s">
        <v>68</v>
      </c>
      <c r="D1387" s="4" t="s">
        <v>65</v>
      </c>
      <c r="E1387">
        <v>54</v>
      </c>
      <c r="F1387">
        <v>11950</v>
      </c>
      <c r="G1387">
        <v>13465</v>
      </c>
    </row>
    <row r="1388" spans="1:7" x14ac:dyDescent="0.25">
      <c r="A1388" s="5">
        <v>43596</v>
      </c>
      <c r="B1388" s="4" t="s">
        <v>116</v>
      </c>
      <c r="C1388" s="4" t="s">
        <v>68</v>
      </c>
      <c r="D1388" s="4" t="s">
        <v>69</v>
      </c>
      <c r="E1388">
        <v>102</v>
      </c>
      <c r="F1388">
        <v>19070</v>
      </c>
      <c r="G1388">
        <v>28578</v>
      </c>
    </row>
    <row r="1389" spans="1:7" x14ac:dyDescent="0.25">
      <c r="A1389" s="5">
        <v>43596</v>
      </c>
      <c r="B1389" s="4" t="s">
        <v>116</v>
      </c>
      <c r="C1389" s="4" t="s">
        <v>68</v>
      </c>
      <c r="D1389" s="4" t="s">
        <v>56</v>
      </c>
      <c r="E1389">
        <v>126</v>
      </c>
      <c r="F1389">
        <v>23460</v>
      </c>
      <c r="G1389">
        <v>46160</v>
      </c>
    </row>
    <row r="1390" spans="1:7" x14ac:dyDescent="0.25">
      <c r="A1390" s="5">
        <v>43611</v>
      </c>
      <c r="B1390" s="4" t="s">
        <v>116</v>
      </c>
      <c r="C1390" s="4" t="s">
        <v>68</v>
      </c>
      <c r="D1390" s="4" t="s">
        <v>65</v>
      </c>
      <c r="E1390">
        <v>66</v>
      </c>
      <c r="F1390">
        <v>17980</v>
      </c>
      <c r="G1390">
        <v>13465</v>
      </c>
    </row>
    <row r="1391" spans="1:7" x14ac:dyDescent="0.25">
      <c r="A1391" s="5">
        <v>43611</v>
      </c>
      <c r="B1391" s="4" t="s">
        <v>116</v>
      </c>
      <c r="C1391" s="4" t="s">
        <v>68</v>
      </c>
      <c r="D1391" s="4" t="s">
        <v>61</v>
      </c>
      <c r="E1391">
        <v>161</v>
      </c>
      <c r="F1391">
        <v>30150</v>
      </c>
      <c r="G1391">
        <v>50855</v>
      </c>
    </row>
    <row r="1392" spans="1:7" x14ac:dyDescent="0.25">
      <c r="A1392" s="5">
        <v>43611</v>
      </c>
      <c r="B1392" s="4" t="s">
        <v>116</v>
      </c>
      <c r="C1392" s="4" t="s">
        <v>68</v>
      </c>
      <c r="D1392" s="4" t="s">
        <v>67</v>
      </c>
      <c r="E1392">
        <v>148</v>
      </c>
      <c r="F1392">
        <v>28980</v>
      </c>
      <c r="G1392">
        <v>141050</v>
      </c>
    </row>
    <row r="1393" spans="1:7" x14ac:dyDescent="0.25">
      <c r="A1393" s="5">
        <v>43611</v>
      </c>
      <c r="B1393" s="4" t="s">
        <v>116</v>
      </c>
      <c r="C1393" s="4" t="s">
        <v>68</v>
      </c>
      <c r="D1393" s="4" t="s">
        <v>66</v>
      </c>
      <c r="E1393">
        <v>106</v>
      </c>
      <c r="F1393">
        <v>25015</v>
      </c>
      <c r="G1393">
        <v>25950</v>
      </c>
    </row>
    <row r="1394" spans="1:7" x14ac:dyDescent="0.25">
      <c r="A1394" s="5">
        <v>43611</v>
      </c>
      <c r="B1394" s="4" t="s">
        <v>116</v>
      </c>
      <c r="C1394" s="4" t="s">
        <v>68</v>
      </c>
      <c r="D1394" s="4" t="s">
        <v>56</v>
      </c>
      <c r="E1394">
        <v>149</v>
      </c>
      <c r="F1394">
        <v>35030</v>
      </c>
      <c r="G1394">
        <v>35660</v>
      </c>
    </row>
    <row r="1395" spans="1:7" x14ac:dyDescent="0.25">
      <c r="A1395" s="5">
        <v>43611</v>
      </c>
      <c r="B1395" s="4" t="s">
        <v>116</v>
      </c>
      <c r="C1395" s="4" t="s">
        <v>68</v>
      </c>
      <c r="D1395" s="4" t="s">
        <v>65</v>
      </c>
      <c r="E1395">
        <v>87</v>
      </c>
      <c r="F1395">
        <v>28270</v>
      </c>
      <c r="G1395">
        <v>13465</v>
      </c>
    </row>
    <row r="1396" spans="1:7" x14ac:dyDescent="0.25">
      <c r="A1396" s="5">
        <v>43596</v>
      </c>
      <c r="B1396" s="4" t="s">
        <v>116</v>
      </c>
      <c r="C1396" s="4" t="s">
        <v>68</v>
      </c>
      <c r="D1396" s="4" t="s">
        <v>59</v>
      </c>
      <c r="E1396">
        <v>165</v>
      </c>
      <c r="F1396">
        <v>39750</v>
      </c>
      <c r="G1396">
        <v>65245</v>
      </c>
    </row>
    <row r="1397" spans="1:7" x14ac:dyDescent="0.25">
      <c r="A1397" s="5">
        <v>43611</v>
      </c>
      <c r="B1397" s="4" t="s">
        <v>116</v>
      </c>
      <c r="C1397" s="4" t="s">
        <v>68</v>
      </c>
      <c r="D1397" s="4" t="s">
        <v>65</v>
      </c>
      <c r="E1397">
        <v>98</v>
      </c>
      <c r="F1397">
        <v>34080</v>
      </c>
      <c r="G1397">
        <v>13465</v>
      </c>
    </row>
    <row r="1398" spans="1:7" x14ac:dyDescent="0.25">
      <c r="A1398" s="5">
        <v>43603</v>
      </c>
      <c r="B1398" s="4" t="s">
        <v>116</v>
      </c>
      <c r="C1398" s="4" t="s">
        <v>68</v>
      </c>
      <c r="D1398" s="4" t="s">
        <v>61</v>
      </c>
      <c r="E1398">
        <v>203</v>
      </c>
      <c r="F1398">
        <v>51370</v>
      </c>
      <c r="G1398">
        <v>50855</v>
      </c>
    </row>
    <row r="1399" spans="1:7" x14ac:dyDescent="0.25">
      <c r="A1399" s="5">
        <v>43603</v>
      </c>
      <c r="B1399" s="4" t="s">
        <v>116</v>
      </c>
      <c r="C1399" s="4" t="s">
        <v>68</v>
      </c>
      <c r="D1399" s="4" t="s">
        <v>56</v>
      </c>
      <c r="E1399">
        <v>175</v>
      </c>
      <c r="F1399">
        <v>48080</v>
      </c>
      <c r="G1399">
        <v>107560</v>
      </c>
    </row>
    <row r="1400" spans="1:7" x14ac:dyDescent="0.25">
      <c r="A1400" s="5">
        <v>43611</v>
      </c>
      <c r="B1400" s="4" t="s">
        <v>116</v>
      </c>
      <c r="C1400" s="4" t="s">
        <v>68</v>
      </c>
      <c r="D1400" s="4" t="s">
        <v>61</v>
      </c>
      <c r="E1400">
        <v>205</v>
      </c>
      <c r="F1400">
        <v>51990</v>
      </c>
      <c r="G1400">
        <v>50855</v>
      </c>
    </row>
    <row r="1401" spans="1:7" x14ac:dyDescent="0.25">
      <c r="A1401" s="5">
        <v>43589</v>
      </c>
      <c r="B1401" s="4" t="s">
        <v>116</v>
      </c>
      <c r="C1401" s="4" t="s">
        <v>68</v>
      </c>
      <c r="D1401" s="4" t="s">
        <v>59</v>
      </c>
      <c r="E1401">
        <v>186</v>
      </c>
      <c r="F1401">
        <v>50400</v>
      </c>
      <c r="G1401">
        <v>90245</v>
      </c>
    </row>
    <row r="1402" spans="1:7" x14ac:dyDescent="0.25">
      <c r="A1402" s="5">
        <v>43603</v>
      </c>
      <c r="B1402" s="4" t="s">
        <v>116</v>
      </c>
      <c r="C1402" s="4" t="s">
        <v>68</v>
      </c>
      <c r="D1402" s="4" t="s">
        <v>56</v>
      </c>
      <c r="E1402">
        <v>176</v>
      </c>
      <c r="F1402">
        <v>48740</v>
      </c>
      <c r="G1402">
        <v>135160</v>
      </c>
    </row>
    <row r="1403" spans="1:7" x14ac:dyDescent="0.25">
      <c r="A1403" s="5">
        <v>43603</v>
      </c>
      <c r="B1403" s="4" t="s">
        <v>116</v>
      </c>
      <c r="C1403" s="4" t="s">
        <v>68</v>
      </c>
      <c r="D1403" s="4" t="s">
        <v>70</v>
      </c>
      <c r="E1403">
        <v>212</v>
      </c>
      <c r="F1403">
        <v>54220</v>
      </c>
      <c r="G1403">
        <v>61370</v>
      </c>
    </row>
    <row r="1404" spans="1:7" x14ac:dyDescent="0.25">
      <c r="A1404" s="5">
        <v>43611</v>
      </c>
      <c r="B1404" s="4" t="s">
        <v>116</v>
      </c>
      <c r="C1404" s="4" t="s">
        <v>68</v>
      </c>
      <c r="D1404" s="4" t="s">
        <v>63</v>
      </c>
      <c r="E1404">
        <v>206</v>
      </c>
      <c r="F1404">
        <v>54110</v>
      </c>
      <c r="G1404">
        <v>44435</v>
      </c>
    </row>
    <row r="1405" spans="1:7" x14ac:dyDescent="0.25">
      <c r="A1405" s="5">
        <v>43603</v>
      </c>
      <c r="B1405" s="4" t="s">
        <v>116</v>
      </c>
      <c r="C1405" s="4" t="s">
        <v>68</v>
      </c>
      <c r="D1405" s="4" t="s">
        <v>61</v>
      </c>
      <c r="E1405">
        <v>219</v>
      </c>
      <c r="F1405">
        <v>59460</v>
      </c>
      <c r="G1405">
        <v>50855</v>
      </c>
    </row>
    <row r="1406" spans="1:7" x14ac:dyDescent="0.25">
      <c r="A1406" s="5">
        <v>43596</v>
      </c>
      <c r="B1406" s="4" t="s">
        <v>116</v>
      </c>
      <c r="C1406" s="4" t="s">
        <v>68</v>
      </c>
      <c r="D1406" s="4" t="s">
        <v>61</v>
      </c>
      <c r="E1406">
        <v>223</v>
      </c>
      <c r="F1406">
        <v>61370</v>
      </c>
      <c r="G1406">
        <v>146855</v>
      </c>
    </row>
    <row r="1407" spans="1:7" x14ac:dyDescent="0.25">
      <c r="A1407" s="5">
        <v>43603</v>
      </c>
      <c r="B1407" s="4" t="s">
        <v>116</v>
      </c>
      <c r="C1407" s="4" t="s">
        <v>68</v>
      </c>
      <c r="D1407" s="4" t="s">
        <v>69</v>
      </c>
      <c r="E1407">
        <v>178</v>
      </c>
      <c r="F1407">
        <v>56860</v>
      </c>
      <c r="G1407">
        <v>63090</v>
      </c>
    </row>
    <row r="1408" spans="1:7" x14ac:dyDescent="0.25">
      <c r="A1408" s="5">
        <v>43603</v>
      </c>
      <c r="B1408" s="4" t="s">
        <v>116</v>
      </c>
      <c r="C1408" s="4" t="s">
        <v>68</v>
      </c>
      <c r="D1408" s="4" t="s">
        <v>59</v>
      </c>
      <c r="E1408">
        <v>211</v>
      </c>
      <c r="F1408">
        <v>62655</v>
      </c>
      <c r="G1408">
        <v>40245</v>
      </c>
    </row>
    <row r="1409" spans="1:7" x14ac:dyDescent="0.25">
      <c r="A1409" s="5">
        <v>43589</v>
      </c>
      <c r="B1409" s="4" t="s">
        <v>116</v>
      </c>
      <c r="C1409" s="4" t="s">
        <v>68</v>
      </c>
      <c r="D1409" s="4" t="s">
        <v>59</v>
      </c>
      <c r="E1409">
        <v>214</v>
      </c>
      <c r="F1409">
        <v>64120</v>
      </c>
      <c r="G1409">
        <v>92155</v>
      </c>
    </row>
    <row r="1410" spans="1:7" x14ac:dyDescent="0.25">
      <c r="A1410" s="5">
        <v>43611</v>
      </c>
      <c r="B1410" s="4" t="s">
        <v>116</v>
      </c>
      <c r="C1410" s="4" t="s">
        <v>68</v>
      </c>
      <c r="D1410" s="4" t="s">
        <v>67</v>
      </c>
      <c r="E1410">
        <v>194</v>
      </c>
      <c r="F1410">
        <v>66995</v>
      </c>
      <c r="G1410">
        <v>41050</v>
      </c>
    </row>
    <row r="1411" spans="1:7" x14ac:dyDescent="0.25">
      <c r="A1411" s="5">
        <v>43596</v>
      </c>
      <c r="B1411" s="4" t="s">
        <v>116</v>
      </c>
      <c r="C1411" s="4" t="s">
        <v>68</v>
      </c>
      <c r="D1411" s="4" t="s">
        <v>55</v>
      </c>
      <c r="E1411">
        <v>233</v>
      </c>
      <c r="F1411">
        <v>70060</v>
      </c>
      <c r="G1411">
        <v>43315</v>
      </c>
    </row>
    <row r="1412" spans="1:7" x14ac:dyDescent="0.25">
      <c r="A1412" s="5">
        <v>43603</v>
      </c>
      <c r="B1412" s="4" t="s">
        <v>116</v>
      </c>
      <c r="C1412" s="4" t="s">
        <v>68</v>
      </c>
      <c r="D1412" s="4" t="s">
        <v>54</v>
      </c>
      <c r="E1412">
        <v>381</v>
      </c>
      <c r="F1412">
        <v>90630</v>
      </c>
      <c r="G1412">
        <v>184495</v>
      </c>
    </row>
    <row r="1413" spans="1:7" x14ac:dyDescent="0.25">
      <c r="A1413" s="5">
        <v>43603</v>
      </c>
      <c r="B1413" s="4" t="s">
        <v>116</v>
      </c>
      <c r="C1413" s="4" t="s">
        <v>68</v>
      </c>
      <c r="D1413" s="4" t="s">
        <v>63</v>
      </c>
      <c r="E1413">
        <v>246</v>
      </c>
      <c r="F1413">
        <v>74530</v>
      </c>
      <c r="G1413">
        <v>44435</v>
      </c>
    </row>
    <row r="1414" spans="1:7" x14ac:dyDescent="0.25">
      <c r="A1414" s="5">
        <v>43603</v>
      </c>
      <c r="B1414" s="4" t="s">
        <v>116</v>
      </c>
      <c r="C1414" s="4" t="s">
        <v>68</v>
      </c>
      <c r="D1414" s="4" t="s">
        <v>65</v>
      </c>
      <c r="E1414">
        <v>157</v>
      </c>
      <c r="F1414">
        <v>63680</v>
      </c>
      <c r="G1414">
        <v>13465</v>
      </c>
    </row>
    <row r="1415" spans="1:7" x14ac:dyDescent="0.25">
      <c r="A1415" s="5">
        <v>43611</v>
      </c>
      <c r="B1415" s="4" t="s">
        <v>116</v>
      </c>
      <c r="C1415" s="4" t="s">
        <v>68</v>
      </c>
      <c r="D1415" s="4" t="s">
        <v>58</v>
      </c>
      <c r="E1415">
        <v>256</v>
      </c>
      <c r="F1415">
        <v>77800</v>
      </c>
      <c r="G1415">
        <v>47130</v>
      </c>
    </row>
    <row r="1416" spans="1:7" x14ac:dyDescent="0.25">
      <c r="A1416" s="5">
        <v>43589</v>
      </c>
      <c r="B1416" s="4" t="s">
        <v>116</v>
      </c>
      <c r="C1416" s="4" t="s">
        <v>68</v>
      </c>
      <c r="D1416" s="4" t="s">
        <v>57</v>
      </c>
      <c r="E1416">
        <v>533</v>
      </c>
      <c r="F1416">
        <v>114865</v>
      </c>
      <c r="G1416">
        <v>255215</v>
      </c>
    </row>
    <row r="1417" spans="1:7" x14ac:dyDescent="0.25">
      <c r="A1417" s="5">
        <v>43611</v>
      </c>
      <c r="B1417" s="4" t="s">
        <v>116</v>
      </c>
      <c r="C1417" s="4" t="s">
        <v>68</v>
      </c>
      <c r="D1417" s="4" t="s">
        <v>62</v>
      </c>
      <c r="E1417">
        <v>181</v>
      </c>
      <c r="F1417">
        <v>73245</v>
      </c>
      <c r="G1417">
        <v>25975</v>
      </c>
    </row>
    <row r="1418" spans="1:7" x14ac:dyDescent="0.25">
      <c r="A1418" s="5">
        <v>43603</v>
      </c>
      <c r="B1418" s="4" t="s">
        <v>116</v>
      </c>
      <c r="C1418" s="4" t="s">
        <v>68</v>
      </c>
      <c r="D1418" s="4" t="s">
        <v>56</v>
      </c>
      <c r="E1418">
        <v>238</v>
      </c>
      <c r="F1418">
        <v>79560</v>
      </c>
      <c r="G1418">
        <v>40120</v>
      </c>
    </row>
    <row r="1419" spans="1:7" x14ac:dyDescent="0.25">
      <c r="A1419" s="5">
        <v>43596</v>
      </c>
      <c r="B1419" s="4" t="s">
        <v>116</v>
      </c>
      <c r="C1419" s="4" t="s">
        <v>68</v>
      </c>
      <c r="D1419" s="4" t="s">
        <v>58</v>
      </c>
      <c r="E1419">
        <v>270</v>
      </c>
      <c r="F1419">
        <v>84850</v>
      </c>
      <c r="G1419">
        <v>147130</v>
      </c>
    </row>
    <row r="1420" spans="1:7" x14ac:dyDescent="0.25">
      <c r="A1420" s="5">
        <v>43611</v>
      </c>
      <c r="B1420" s="4" t="s">
        <v>116</v>
      </c>
      <c r="C1420" s="4" t="s">
        <v>68</v>
      </c>
      <c r="D1420" s="4" t="s">
        <v>55</v>
      </c>
      <c r="E1420">
        <v>264</v>
      </c>
      <c r="F1420">
        <v>85580</v>
      </c>
      <c r="G1420">
        <v>43315</v>
      </c>
    </row>
    <row r="1421" spans="1:7" x14ac:dyDescent="0.25">
      <c r="A1421" s="5">
        <v>43596</v>
      </c>
      <c r="B1421" s="4" t="s">
        <v>116</v>
      </c>
      <c r="C1421" s="4" t="s">
        <v>68</v>
      </c>
      <c r="D1421" s="4" t="s">
        <v>71</v>
      </c>
      <c r="E1421">
        <v>287</v>
      </c>
      <c r="F1421">
        <v>95330</v>
      </c>
      <c r="G1421">
        <v>147933</v>
      </c>
    </row>
    <row r="1422" spans="1:7" x14ac:dyDescent="0.25">
      <c r="A1422" s="5">
        <v>43596</v>
      </c>
      <c r="B1422" s="4" t="s">
        <v>116</v>
      </c>
      <c r="C1422" s="4" t="s">
        <v>68</v>
      </c>
      <c r="D1422" s="4" t="s">
        <v>61</v>
      </c>
      <c r="E1422">
        <v>288</v>
      </c>
      <c r="F1422">
        <v>93800</v>
      </c>
      <c r="G1422">
        <v>50855</v>
      </c>
    </row>
    <row r="1423" spans="1:7" x14ac:dyDescent="0.25">
      <c r="A1423" s="5">
        <v>43596</v>
      </c>
      <c r="B1423" s="4" t="s">
        <v>116</v>
      </c>
      <c r="C1423" s="4" t="s">
        <v>68</v>
      </c>
      <c r="D1423" s="4" t="s">
        <v>65</v>
      </c>
      <c r="E1423">
        <v>194</v>
      </c>
      <c r="F1423">
        <v>82090</v>
      </c>
      <c r="G1423">
        <v>38965</v>
      </c>
    </row>
    <row r="1424" spans="1:7" x14ac:dyDescent="0.25">
      <c r="A1424" s="5">
        <v>43589</v>
      </c>
      <c r="B1424" s="4" t="s">
        <v>116</v>
      </c>
      <c r="C1424" s="4" t="s">
        <v>68</v>
      </c>
      <c r="D1424" s="4" t="s">
        <v>65</v>
      </c>
      <c r="E1424">
        <v>198</v>
      </c>
      <c r="F1424">
        <v>84180</v>
      </c>
      <c r="G1424">
        <v>63465</v>
      </c>
    </row>
    <row r="1425" spans="1:7" x14ac:dyDescent="0.25">
      <c r="A1425" s="5">
        <v>43603</v>
      </c>
      <c r="B1425" s="4" t="s">
        <v>116</v>
      </c>
      <c r="C1425" s="4" t="s">
        <v>68</v>
      </c>
      <c r="D1425" s="4" t="s">
        <v>55</v>
      </c>
      <c r="E1425">
        <v>299</v>
      </c>
      <c r="F1425">
        <v>103080</v>
      </c>
      <c r="G1425">
        <v>126745</v>
      </c>
    </row>
    <row r="1426" spans="1:7" x14ac:dyDescent="0.25">
      <c r="A1426" s="5">
        <v>43589</v>
      </c>
      <c r="B1426" s="4" t="s">
        <v>116</v>
      </c>
      <c r="C1426" s="4" t="s">
        <v>68</v>
      </c>
      <c r="D1426" s="4" t="s">
        <v>54</v>
      </c>
      <c r="E1426">
        <v>449</v>
      </c>
      <c r="F1426">
        <v>124530</v>
      </c>
      <c r="G1426">
        <v>194975</v>
      </c>
    </row>
    <row r="1427" spans="1:7" x14ac:dyDescent="0.25">
      <c r="A1427" s="5">
        <v>43596</v>
      </c>
      <c r="B1427" s="4" t="s">
        <v>116</v>
      </c>
      <c r="C1427" s="4" t="s">
        <v>68</v>
      </c>
      <c r="D1427" s="4" t="s">
        <v>56</v>
      </c>
      <c r="E1427">
        <v>307</v>
      </c>
      <c r="F1427">
        <v>113930</v>
      </c>
      <c r="G1427">
        <v>165660</v>
      </c>
    </row>
    <row r="1428" spans="1:7" x14ac:dyDescent="0.25">
      <c r="A1428" s="5">
        <v>43611</v>
      </c>
      <c r="B1428" s="4" t="s">
        <v>116</v>
      </c>
      <c r="C1428" s="4" t="s">
        <v>68</v>
      </c>
      <c r="D1428" s="4" t="s">
        <v>59</v>
      </c>
      <c r="E1428">
        <v>315</v>
      </c>
      <c r="F1428">
        <v>120750</v>
      </c>
      <c r="G1428">
        <v>40245</v>
      </c>
    </row>
    <row r="1429" spans="1:7" x14ac:dyDescent="0.25">
      <c r="A1429" s="5">
        <v>43589</v>
      </c>
      <c r="B1429" s="4" t="s">
        <v>116</v>
      </c>
      <c r="C1429" s="4" t="s">
        <v>68</v>
      </c>
      <c r="D1429" s="4" t="s">
        <v>64</v>
      </c>
      <c r="E1429">
        <v>879</v>
      </c>
      <c r="F1429">
        <v>195440</v>
      </c>
      <c r="G1429">
        <v>233595</v>
      </c>
    </row>
    <row r="1430" spans="1:7" x14ac:dyDescent="0.25">
      <c r="A1430" s="5">
        <v>43611</v>
      </c>
      <c r="B1430" s="4" t="s">
        <v>116</v>
      </c>
      <c r="C1430" s="4" t="s">
        <v>68</v>
      </c>
      <c r="D1430" s="4" t="s">
        <v>61</v>
      </c>
      <c r="E1430">
        <v>356</v>
      </c>
      <c r="F1430">
        <v>127580</v>
      </c>
      <c r="G1430">
        <v>50855</v>
      </c>
    </row>
    <row r="1431" spans="1:7" x14ac:dyDescent="0.25">
      <c r="A1431" s="5">
        <v>43603</v>
      </c>
      <c r="B1431" s="4" t="s">
        <v>116</v>
      </c>
      <c r="C1431" s="4" t="s">
        <v>68</v>
      </c>
      <c r="D1431" s="4" t="s">
        <v>54</v>
      </c>
      <c r="E1431">
        <v>496</v>
      </c>
      <c r="F1431">
        <v>147910</v>
      </c>
      <c r="G1431">
        <v>194975</v>
      </c>
    </row>
    <row r="1432" spans="1:7" x14ac:dyDescent="0.25">
      <c r="A1432" s="5">
        <v>43596</v>
      </c>
      <c r="B1432" s="4" t="s">
        <v>116</v>
      </c>
      <c r="C1432" s="4" t="s">
        <v>68</v>
      </c>
      <c r="D1432" s="4" t="s">
        <v>70</v>
      </c>
      <c r="E1432">
        <v>364</v>
      </c>
      <c r="F1432">
        <v>133560</v>
      </c>
      <c r="G1432">
        <v>179405</v>
      </c>
    </row>
    <row r="1433" spans="1:7" x14ac:dyDescent="0.25">
      <c r="A1433" s="5">
        <v>43603</v>
      </c>
      <c r="B1433" s="4" t="s">
        <v>116</v>
      </c>
      <c r="C1433" s="4" t="s">
        <v>68</v>
      </c>
      <c r="D1433" s="4" t="s">
        <v>60</v>
      </c>
      <c r="E1433">
        <v>491</v>
      </c>
      <c r="F1433">
        <v>151195</v>
      </c>
      <c r="G1433">
        <v>89675</v>
      </c>
    </row>
    <row r="1434" spans="1:7" x14ac:dyDescent="0.25">
      <c r="A1434" s="5">
        <v>43596</v>
      </c>
      <c r="B1434" s="4" t="s">
        <v>116</v>
      </c>
      <c r="C1434" s="4" t="s">
        <v>68</v>
      </c>
      <c r="D1434" s="4" t="s">
        <v>61</v>
      </c>
      <c r="E1434">
        <v>382</v>
      </c>
      <c r="F1434">
        <v>140940</v>
      </c>
      <c r="G1434">
        <v>146855</v>
      </c>
    </row>
    <row r="1435" spans="1:7" x14ac:dyDescent="0.25">
      <c r="A1435" s="5">
        <v>43596</v>
      </c>
      <c r="B1435" s="4" t="s">
        <v>116</v>
      </c>
      <c r="C1435" s="4" t="s">
        <v>68</v>
      </c>
      <c r="D1435" s="4" t="s">
        <v>53</v>
      </c>
      <c r="E1435">
        <v>408</v>
      </c>
      <c r="F1435">
        <v>144680</v>
      </c>
      <c r="G1435">
        <v>236185</v>
      </c>
    </row>
    <row r="1436" spans="1:7" x14ac:dyDescent="0.25">
      <c r="A1436" s="5">
        <v>43596</v>
      </c>
      <c r="B1436" s="4" t="s">
        <v>116</v>
      </c>
      <c r="C1436" s="4" t="s">
        <v>68</v>
      </c>
      <c r="D1436" s="4" t="s">
        <v>55</v>
      </c>
      <c r="E1436">
        <v>374</v>
      </c>
      <c r="F1436">
        <v>140280</v>
      </c>
      <c r="G1436">
        <v>93315</v>
      </c>
    </row>
    <row r="1437" spans="1:7" x14ac:dyDescent="0.25">
      <c r="A1437" s="5">
        <v>43589</v>
      </c>
      <c r="B1437" s="4" t="s">
        <v>116</v>
      </c>
      <c r="C1437" s="4" t="s">
        <v>68</v>
      </c>
      <c r="D1437" s="4" t="s">
        <v>66</v>
      </c>
      <c r="E1437">
        <v>315</v>
      </c>
      <c r="F1437">
        <v>136835</v>
      </c>
      <c r="G1437">
        <v>25950</v>
      </c>
    </row>
    <row r="1438" spans="1:7" x14ac:dyDescent="0.25">
      <c r="A1438" s="5">
        <v>43589</v>
      </c>
      <c r="B1438" s="4" t="s">
        <v>116</v>
      </c>
      <c r="C1438" s="4" t="s">
        <v>68</v>
      </c>
      <c r="D1438" s="4" t="s">
        <v>61</v>
      </c>
      <c r="E1438">
        <v>391</v>
      </c>
      <c r="F1438">
        <v>145290</v>
      </c>
      <c r="G1438">
        <v>171855</v>
      </c>
    </row>
    <row r="1439" spans="1:7" x14ac:dyDescent="0.25">
      <c r="A1439" s="5">
        <v>43596</v>
      </c>
      <c r="B1439" s="4" t="s">
        <v>116</v>
      </c>
      <c r="C1439" s="4" t="s">
        <v>68</v>
      </c>
      <c r="D1439" s="4" t="s">
        <v>62</v>
      </c>
      <c r="E1439">
        <v>338</v>
      </c>
      <c r="F1439">
        <v>141260</v>
      </c>
      <c r="G1439">
        <v>25975</v>
      </c>
    </row>
    <row r="1440" spans="1:7" x14ac:dyDescent="0.25">
      <c r="A1440" s="5">
        <v>43596</v>
      </c>
      <c r="B1440" s="4" t="s">
        <v>116</v>
      </c>
      <c r="C1440" s="4" t="s">
        <v>68</v>
      </c>
      <c r="D1440" s="4" t="s">
        <v>63</v>
      </c>
      <c r="E1440">
        <v>395</v>
      </c>
      <c r="F1440">
        <v>148740</v>
      </c>
      <c r="G1440">
        <v>44435</v>
      </c>
    </row>
    <row r="1441" spans="1:7" x14ac:dyDescent="0.25">
      <c r="A1441" s="5">
        <v>43589</v>
      </c>
      <c r="B1441" s="4" t="s">
        <v>116</v>
      </c>
      <c r="C1441" s="4" t="s">
        <v>68</v>
      </c>
      <c r="D1441" s="4" t="s">
        <v>54</v>
      </c>
      <c r="E1441">
        <v>543</v>
      </c>
      <c r="F1441">
        <v>171450</v>
      </c>
      <c r="G1441">
        <v>363975</v>
      </c>
    </row>
    <row r="1442" spans="1:7" x14ac:dyDescent="0.25">
      <c r="A1442" s="5">
        <v>43589</v>
      </c>
      <c r="B1442" s="4" t="s">
        <v>116</v>
      </c>
      <c r="C1442" s="4" t="s">
        <v>68</v>
      </c>
      <c r="D1442" s="4" t="s">
        <v>56</v>
      </c>
      <c r="E1442">
        <v>393</v>
      </c>
      <c r="F1442">
        <v>157305</v>
      </c>
      <c r="G1442">
        <v>65660</v>
      </c>
    </row>
    <row r="1443" spans="1:7" x14ac:dyDescent="0.25">
      <c r="A1443" s="5">
        <v>43611</v>
      </c>
      <c r="B1443" s="4" t="s">
        <v>116</v>
      </c>
      <c r="C1443" s="4" t="s">
        <v>68</v>
      </c>
      <c r="D1443" s="4" t="s">
        <v>54</v>
      </c>
      <c r="E1443">
        <v>563</v>
      </c>
      <c r="F1443">
        <v>181355</v>
      </c>
      <c r="G1443">
        <v>94975</v>
      </c>
    </row>
    <row r="1444" spans="1:7" x14ac:dyDescent="0.25">
      <c r="A1444" s="5">
        <v>43589</v>
      </c>
      <c r="B1444" s="4" t="s">
        <v>116</v>
      </c>
      <c r="C1444" s="4" t="s">
        <v>68</v>
      </c>
      <c r="D1444" s="4" t="s">
        <v>61</v>
      </c>
      <c r="E1444">
        <v>449</v>
      </c>
      <c r="F1444">
        <v>174060</v>
      </c>
      <c r="G1444">
        <v>296855</v>
      </c>
    </row>
    <row r="1445" spans="1:7" x14ac:dyDescent="0.25">
      <c r="A1445" s="5">
        <v>43603</v>
      </c>
      <c r="B1445" s="4" t="s">
        <v>116</v>
      </c>
      <c r="C1445" s="4" t="s">
        <v>68</v>
      </c>
      <c r="D1445" s="4" t="s">
        <v>57</v>
      </c>
      <c r="E1445">
        <v>731</v>
      </c>
      <c r="F1445">
        <v>214015</v>
      </c>
      <c r="G1445">
        <v>296715</v>
      </c>
    </row>
    <row r="1446" spans="1:7" x14ac:dyDescent="0.25">
      <c r="A1446" s="5">
        <v>43603</v>
      </c>
      <c r="B1446" s="4" t="s">
        <v>116</v>
      </c>
      <c r="C1446" s="4" t="s">
        <v>68</v>
      </c>
      <c r="D1446" s="4" t="s">
        <v>57</v>
      </c>
      <c r="E1446">
        <v>736</v>
      </c>
      <c r="F1446">
        <v>216315</v>
      </c>
      <c r="G1446">
        <v>235215</v>
      </c>
    </row>
    <row r="1447" spans="1:7" x14ac:dyDescent="0.25">
      <c r="A1447" s="5">
        <v>43611</v>
      </c>
      <c r="B1447" s="4" t="s">
        <v>116</v>
      </c>
      <c r="C1447" s="4" t="s">
        <v>68</v>
      </c>
      <c r="D1447" s="4" t="s">
        <v>69</v>
      </c>
      <c r="E1447">
        <v>412</v>
      </c>
      <c r="F1447">
        <v>174000</v>
      </c>
      <c r="G1447">
        <v>28590</v>
      </c>
    </row>
    <row r="1448" spans="1:7" x14ac:dyDescent="0.25">
      <c r="A1448" s="5">
        <v>43603</v>
      </c>
      <c r="B1448" s="4" t="s">
        <v>116</v>
      </c>
      <c r="C1448" s="4" t="s">
        <v>68</v>
      </c>
      <c r="D1448" s="4" t="s">
        <v>54</v>
      </c>
      <c r="E1448">
        <v>604</v>
      </c>
      <c r="F1448">
        <v>202150</v>
      </c>
      <c r="G1448">
        <v>244975</v>
      </c>
    </row>
    <row r="1449" spans="1:7" x14ac:dyDescent="0.25">
      <c r="A1449" s="5">
        <v>43603</v>
      </c>
      <c r="B1449" s="4" t="s">
        <v>116</v>
      </c>
      <c r="C1449" s="4" t="s">
        <v>68</v>
      </c>
      <c r="D1449" s="4" t="s">
        <v>58</v>
      </c>
      <c r="E1449">
        <v>492</v>
      </c>
      <c r="F1449">
        <v>195810</v>
      </c>
      <c r="G1449">
        <v>47130</v>
      </c>
    </row>
    <row r="1450" spans="1:7" x14ac:dyDescent="0.25">
      <c r="A1450" s="5">
        <v>43603</v>
      </c>
      <c r="B1450" s="4" t="s">
        <v>116</v>
      </c>
      <c r="C1450" s="4" t="s">
        <v>68</v>
      </c>
      <c r="D1450" s="4" t="s">
        <v>54</v>
      </c>
      <c r="E1450">
        <v>652</v>
      </c>
      <c r="F1450">
        <v>225995</v>
      </c>
      <c r="G1450">
        <v>307975</v>
      </c>
    </row>
    <row r="1451" spans="1:7" x14ac:dyDescent="0.25">
      <c r="A1451" s="5">
        <v>43596</v>
      </c>
      <c r="B1451" s="4" t="s">
        <v>116</v>
      </c>
      <c r="C1451" s="4" t="s">
        <v>68</v>
      </c>
      <c r="D1451" s="4" t="s">
        <v>57</v>
      </c>
      <c r="E1451">
        <v>800</v>
      </c>
      <c r="F1451">
        <v>248585</v>
      </c>
      <c r="G1451">
        <v>195215</v>
      </c>
    </row>
    <row r="1452" spans="1:7" x14ac:dyDescent="0.25">
      <c r="A1452" s="5">
        <v>43589</v>
      </c>
      <c r="B1452" s="4" t="s">
        <v>116</v>
      </c>
      <c r="C1452" s="4" t="s">
        <v>68</v>
      </c>
      <c r="D1452" s="4" t="s">
        <v>55</v>
      </c>
      <c r="E1452">
        <v>545</v>
      </c>
      <c r="F1452">
        <v>225690</v>
      </c>
      <c r="G1452">
        <v>43315</v>
      </c>
    </row>
    <row r="1453" spans="1:7" x14ac:dyDescent="0.25">
      <c r="A1453" s="5">
        <v>43611</v>
      </c>
      <c r="B1453" s="4" t="s">
        <v>116</v>
      </c>
      <c r="C1453" s="4" t="s">
        <v>68</v>
      </c>
      <c r="D1453" s="4" t="s">
        <v>63</v>
      </c>
      <c r="E1453">
        <v>556</v>
      </c>
      <c r="F1453">
        <v>229550</v>
      </c>
      <c r="G1453">
        <v>44435</v>
      </c>
    </row>
    <row r="1454" spans="1:7" x14ac:dyDescent="0.25">
      <c r="A1454" s="5">
        <v>43596</v>
      </c>
      <c r="B1454" s="4" t="s">
        <v>116</v>
      </c>
      <c r="C1454" s="4" t="s">
        <v>68</v>
      </c>
      <c r="D1454" s="4" t="s">
        <v>70</v>
      </c>
      <c r="E1454">
        <v>582</v>
      </c>
      <c r="F1454">
        <v>239393</v>
      </c>
      <c r="G1454">
        <v>72195</v>
      </c>
    </row>
    <row r="1455" spans="1:7" x14ac:dyDescent="0.25">
      <c r="A1455" s="5">
        <v>43596</v>
      </c>
      <c r="B1455" s="4" t="s">
        <v>116</v>
      </c>
      <c r="C1455" s="4" t="s">
        <v>68</v>
      </c>
      <c r="D1455" s="4" t="s">
        <v>61</v>
      </c>
      <c r="E1455">
        <v>580</v>
      </c>
      <c r="F1455">
        <v>239660</v>
      </c>
      <c r="G1455">
        <v>146855</v>
      </c>
    </row>
    <row r="1456" spans="1:7" x14ac:dyDescent="0.25">
      <c r="A1456" s="5">
        <v>43611</v>
      </c>
      <c r="B1456" s="4" t="s">
        <v>116</v>
      </c>
      <c r="C1456" s="4" t="s">
        <v>68</v>
      </c>
      <c r="D1456" s="4" t="s">
        <v>61</v>
      </c>
      <c r="E1456">
        <v>590</v>
      </c>
      <c r="F1456">
        <v>244770</v>
      </c>
      <c r="G1456">
        <v>50855</v>
      </c>
    </row>
    <row r="1457" spans="1:7" x14ac:dyDescent="0.25">
      <c r="A1457" s="5">
        <v>43589</v>
      </c>
      <c r="B1457" s="4" t="s">
        <v>116</v>
      </c>
      <c r="C1457" s="4" t="s">
        <v>68</v>
      </c>
      <c r="D1457" s="4" t="s">
        <v>56</v>
      </c>
      <c r="E1457">
        <v>562</v>
      </c>
      <c r="F1457">
        <v>241785</v>
      </c>
      <c r="G1457">
        <v>128660</v>
      </c>
    </row>
    <row r="1458" spans="1:7" x14ac:dyDescent="0.25">
      <c r="A1458" s="5">
        <v>43596</v>
      </c>
      <c r="B1458" s="4" t="s">
        <v>116</v>
      </c>
      <c r="C1458" s="4" t="s">
        <v>68</v>
      </c>
      <c r="D1458" s="4" t="s">
        <v>56</v>
      </c>
      <c r="E1458">
        <v>563</v>
      </c>
      <c r="F1458">
        <v>241905</v>
      </c>
      <c r="G1458">
        <v>65660</v>
      </c>
    </row>
    <row r="1459" spans="1:7" x14ac:dyDescent="0.25">
      <c r="A1459" s="5">
        <v>43611</v>
      </c>
      <c r="B1459" s="4" t="s">
        <v>116</v>
      </c>
      <c r="C1459" s="4" t="s">
        <v>68</v>
      </c>
      <c r="D1459" s="4" t="s">
        <v>57</v>
      </c>
      <c r="E1459">
        <v>905</v>
      </c>
      <c r="F1459">
        <v>301015</v>
      </c>
      <c r="G1459">
        <v>145215</v>
      </c>
    </row>
    <row r="1460" spans="1:7" x14ac:dyDescent="0.25">
      <c r="A1460" s="5">
        <v>43611</v>
      </c>
      <c r="B1460" s="4" t="s">
        <v>116</v>
      </c>
      <c r="C1460" s="4" t="s">
        <v>68</v>
      </c>
      <c r="D1460" s="4" t="s">
        <v>59</v>
      </c>
      <c r="E1460">
        <v>614</v>
      </c>
      <c r="F1460">
        <v>264080</v>
      </c>
      <c r="G1460">
        <v>40245</v>
      </c>
    </row>
    <row r="1461" spans="1:7" x14ac:dyDescent="0.25">
      <c r="A1461" s="5">
        <v>43589</v>
      </c>
      <c r="B1461" s="4" t="s">
        <v>116</v>
      </c>
      <c r="C1461" s="4" t="s">
        <v>68</v>
      </c>
      <c r="D1461" s="4" t="s">
        <v>58</v>
      </c>
      <c r="E1461">
        <v>636</v>
      </c>
      <c r="F1461">
        <v>267920</v>
      </c>
      <c r="G1461">
        <v>112130</v>
      </c>
    </row>
    <row r="1462" spans="1:7" x14ac:dyDescent="0.25">
      <c r="A1462" s="5">
        <v>43603</v>
      </c>
      <c r="B1462" s="4" t="s">
        <v>116</v>
      </c>
      <c r="C1462" s="4" t="s">
        <v>68</v>
      </c>
      <c r="D1462" s="4" t="s">
        <v>54</v>
      </c>
      <c r="E1462">
        <v>772</v>
      </c>
      <c r="F1462">
        <v>285650</v>
      </c>
      <c r="G1462">
        <v>134975</v>
      </c>
    </row>
    <row r="1463" spans="1:7" x14ac:dyDescent="0.25">
      <c r="A1463" s="5">
        <v>43603</v>
      </c>
      <c r="B1463" s="4" t="s">
        <v>116</v>
      </c>
      <c r="C1463" s="4" t="s">
        <v>68</v>
      </c>
      <c r="D1463" s="4" t="s">
        <v>63</v>
      </c>
      <c r="E1463">
        <v>638</v>
      </c>
      <c r="F1463">
        <v>270510</v>
      </c>
      <c r="G1463">
        <v>144435</v>
      </c>
    </row>
    <row r="1464" spans="1:7" x14ac:dyDescent="0.25">
      <c r="A1464" s="5">
        <v>43611</v>
      </c>
      <c r="B1464" s="4" t="s">
        <v>116</v>
      </c>
      <c r="C1464" s="4" t="s">
        <v>68</v>
      </c>
      <c r="D1464" s="4" t="s">
        <v>64</v>
      </c>
      <c r="E1464">
        <v>1188</v>
      </c>
      <c r="F1464">
        <v>349980</v>
      </c>
      <c r="G1464">
        <v>233595</v>
      </c>
    </row>
    <row r="1465" spans="1:7" x14ac:dyDescent="0.25">
      <c r="A1465" s="5">
        <v>43589</v>
      </c>
      <c r="B1465" s="4" t="s">
        <v>116</v>
      </c>
      <c r="C1465" s="4" t="s">
        <v>68</v>
      </c>
      <c r="D1465" s="4" t="s">
        <v>58</v>
      </c>
      <c r="E1465">
        <v>668</v>
      </c>
      <c r="F1465">
        <v>283610</v>
      </c>
      <c r="G1465">
        <v>217130</v>
      </c>
    </row>
    <row r="1466" spans="1:7" x14ac:dyDescent="0.25">
      <c r="A1466" s="5">
        <v>43596</v>
      </c>
      <c r="B1466" s="4" t="s">
        <v>116</v>
      </c>
      <c r="C1466" s="4" t="s">
        <v>68</v>
      </c>
      <c r="D1466" s="4" t="s">
        <v>54</v>
      </c>
      <c r="E1466">
        <v>816</v>
      </c>
      <c r="F1466">
        <v>307820</v>
      </c>
      <c r="G1466">
        <v>94975</v>
      </c>
    </row>
    <row r="1467" spans="1:7" x14ac:dyDescent="0.25">
      <c r="A1467" s="5">
        <v>43611</v>
      </c>
      <c r="B1467" s="4" t="s">
        <v>116</v>
      </c>
      <c r="C1467" s="4" t="s">
        <v>68</v>
      </c>
      <c r="D1467" s="4" t="s">
        <v>55</v>
      </c>
      <c r="E1467">
        <v>672</v>
      </c>
      <c r="F1467">
        <v>289500</v>
      </c>
      <c r="G1467">
        <v>43315</v>
      </c>
    </row>
    <row r="1468" spans="1:7" x14ac:dyDescent="0.25">
      <c r="A1468" s="5">
        <v>43611</v>
      </c>
      <c r="B1468" s="4" t="s">
        <v>116</v>
      </c>
      <c r="C1468" s="4" t="s">
        <v>68</v>
      </c>
      <c r="D1468" s="4" t="s">
        <v>70</v>
      </c>
      <c r="E1468">
        <v>715</v>
      </c>
      <c r="F1468">
        <v>305835</v>
      </c>
      <c r="G1468">
        <v>49405</v>
      </c>
    </row>
    <row r="1469" spans="1:7" x14ac:dyDescent="0.25">
      <c r="A1469" s="5">
        <v>43611</v>
      </c>
      <c r="B1469" s="4" t="s">
        <v>116</v>
      </c>
      <c r="C1469" s="4" t="s">
        <v>68</v>
      </c>
      <c r="D1469" s="4" t="s">
        <v>71</v>
      </c>
      <c r="E1469">
        <v>765</v>
      </c>
      <c r="F1469">
        <v>319380</v>
      </c>
      <c r="G1469">
        <v>58970</v>
      </c>
    </row>
    <row r="1470" spans="1:7" x14ac:dyDescent="0.25">
      <c r="A1470" s="5">
        <v>43603</v>
      </c>
      <c r="B1470" s="4" t="s">
        <v>116</v>
      </c>
      <c r="C1470" s="4" t="s">
        <v>68</v>
      </c>
      <c r="D1470" s="4" t="s">
        <v>67</v>
      </c>
      <c r="E1470">
        <v>720</v>
      </c>
      <c r="F1470">
        <v>315335</v>
      </c>
      <c r="G1470">
        <v>3241050</v>
      </c>
    </row>
    <row r="1471" spans="1:7" x14ac:dyDescent="0.25">
      <c r="A1471" s="5">
        <v>43603</v>
      </c>
      <c r="B1471" s="4" t="s">
        <v>116</v>
      </c>
      <c r="C1471" s="4" t="s">
        <v>68</v>
      </c>
      <c r="D1471" s="4" t="s">
        <v>71</v>
      </c>
      <c r="E1471">
        <v>785</v>
      </c>
      <c r="F1471">
        <v>328960</v>
      </c>
      <c r="G1471">
        <v>233970</v>
      </c>
    </row>
    <row r="1472" spans="1:7" x14ac:dyDescent="0.25">
      <c r="A1472" s="5">
        <v>43603</v>
      </c>
      <c r="B1472" s="4" t="s">
        <v>116</v>
      </c>
      <c r="C1472" s="4" t="s">
        <v>68</v>
      </c>
      <c r="D1472" s="4" t="s">
        <v>57</v>
      </c>
      <c r="E1472">
        <v>1040</v>
      </c>
      <c r="F1472">
        <v>368215</v>
      </c>
      <c r="G1472">
        <v>165215</v>
      </c>
    </row>
    <row r="1473" spans="1:7" x14ac:dyDescent="0.25">
      <c r="A1473" s="5">
        <v>43589</v>
      </c>
      <c r="B1473" s="4" t="s">
        <v>116</v>
      </c>
      <c r="C1473" s="4" t="s">
        <v>68</v>
      </c>
      <c r="D1473" s="4" t="s">
        <v>61</v>
      </c>
      <c r="E1473">
        <v>773</v>
      </c>
      <c r="F1473">
        <v>336380</v>
      </c>
      <c r="G1473">
        <v>1346855</v>
      </c>
    </row>
    <row r="1474" spans="1:7" x14ac:dyDescent="0.25">
      <c r="A1474" s="5">
        <v>43589</v>
      </c>
      <c r="B1474" s="4" t="s">
        <v>116</v>
      </c>
      <c r="C1474" s="4" t="s">
        <v>68</v>
      </c>
      <c r="D1474" s="4" t="s">
        <v>70</v>
      </c>
      <c r="E1474">
        <v>815</v>
      </c>
      <c r="F1474">
        <v>355785</v>
      </c>
      <c r="G1474">
        <v>119405</v>
      </c>
    </row>
    <row r="1475" spans="1:7" x14ac:dyDescent="0.25">
      <c r="A1475" s="5">
        <v>43596</v>
      </c>
      <c r="B1475" s="4" t="s">
        <v>116</v>
      </c>
      <c r="C1475" s="4" t="s">
        <v>68</v>
      </c>
      <c r="D1475" s="4" t="s">
        <v>54</v>
      </c>
      <c r="E1475">
        <v>958</v>
      </c>
      <c r="F1475">
        <v>378650</v>
      </c>
      <c r="G1475">
        <v>174825</v>
      </c>
    </row>
    <row r="1476" spans="1:7" x14ac:dyDescent="0.25">
      <c r="A1476" s="5">
        <v>43611</v>
      </c>
      <c r="B1476" s="4" t="s">
        <v>116</v>
      </c>
      <c r="C1476" s="4" t="s">
        <v>68</v>
      </c>
      <c r="D1476" s="4" t="s">
        <v>61</v>
      </c>
      <c r="E1476">
        <v>824</v>
      </c>
      <c r="F1476">
        <v>361780</v>
      </c>
      <c r="G1476">
        <v>50855</v>
      </c>
    </row>
    <row r="1477" spans="1:7" x14ac:dyDescent="0.25">
      <c r="A1477" s="5">
        <v>43596</v>
      </c>
      <c r="B1477" s="4" t="s">
        <v>116</v>
      </c>
      <c r="C1477" s="4" t="s">
        <v>68</v>
      </c>
      <c r="D1477" s="4" t="s">
        <v>55</v>
      </c>
      <c r="E1477">
        <v>817</v>
      </c>
      <c r="F1477">
        <v>362000</v>
      </c>
      <c r="G1477">
        <v>93315</v>
      </c>
    </row>
    <row r="1478" spans="1:7" x14ac:dyDescent="0.25">
      <c r="A1478" s="5">
        <v>43589</v>
      </c>
      <c r="B1478" s="4" t="s">
        <v>116</v>
      </c>
      <c r="C1478" s="4" t="s">
        <v>68</v>
      </c>
      <c r="D1478" s="4" t="s">
        <v>53</v>
      </c>
      <c r="E1478">
        <v>872</v>
      </c>
      <c r="F1478">
        <v>376690</v>
      </c>
      <c r="G1478">
        <v>81185</v>
      </c>
    </row>
    <row r="1479" spans="1:7" x14ac:dyDescent="0.25">
      <c r="A1479" s="5">
        <v>43603</v>
      </c>
      <c r="B1479" s="4" t="s">
        <v>116</v>
      </c>
      <c r="C1479" s="4" t="s">
        <v>68</v>
      </c>
      <c r="D1479" s="4" t="s">
        <v>61</v>
      </c>
      <c r="E1479">
        <v>879</v>
      </c>
      <c r="F1479">
        <v>388980</v>
      </c>
      <c r="G1479">
        <v>50855</v>
      </c>
    </row>
    <row r="1480" spans="1:7" x14ac:dyDescent="0.25">
      <c r="A1480" s="5">
        <v>43596</v>
      </c>
      <c r="B1480" s="4" t="s">
        <v>116</v>
      </c>
      <c r="C1480" s="4" t="s">
        <v>68</v>
      </c>
      <c r="D1480" s="4" t="s">
        <v>57</v>
      </c>
      <c r="E1480">
        <v>1166</v>
      </c>
      <c r="F1480">
        <v>431375</v>
      </c>
      <c r="G1480">
        <v>245215</v>
      </c>
    </row>
    <row r="1481" spans="1:7" x14ac:dyDescent="0.25">
      <c r="A1481" s="5">
        <v>43611</v>
      </c>
      <c r="B1481" s="4" t="s">
        <v>116</v>
      </c>
      <c r="C1481" s="4" t="s">
        <v>68</v>
      </c>
      <c r="D1481" s="4" t="s">
        <v>54</v>
      </c>
      <c r="E1481">
        <v>1032</v>
      </c>
      <c r="F1481">
        <v>415790</v>
      </c>
      <c r="G1481">
        <v>94975</v>
      </c>
    </row>
    <row r="1482" spans="1:7" x14ac:dyDescent="0.25">
      <c r="A1482" s="5">
        <v>43596</v>
      </c>
      <c r="B1482" s="4" t="s">
        <v>116</v>
      </c>
      <c r="C1482" s="4" t="s">
        <v>68</v>
      </c>
      <c r="D1482" s="4" t="s">
        <v>58</v>
      </c>
      <c r="E1482">
        <v>900</v>
      </c>
      <c r="F1482">
        <v>399850</v>
      </c>
      <c r="G1482">
        <v>87130</v>
      </c>
    </row>
    <row r="1483" spans="1:7" x14ac:dyDescent="0.25">
      <c r="A1483" s="5">
        <v>43603</v>
      </c>
      <c r="B1483" s="4" t="s">
        <v>116</v>
      </c>
      <c r="C1483" s="4" t="s">
        <v>68</v>
      </c>
      <c r="D1483" s="4" t="s">
        <v>53</v>
      </c>
      <c r="E1483">
        <v>901</v>
      </c>
      <c r="F1483">
        <v>415050</v>
      </c>
      <c r="G1483">
        <v>86185</v>
      </c>
    </row>
    <row r="1484" spans="1:7" x14ac:dyDescent="0.25">
      <c r="A1484" s="5">
        <v>43596</v>
      </c>
      <c r="B1484" s="4" t="s">
        <v>116</v>
      </c>
      <c r="C1484" s="4" t="s">
        <v>68</v>
      </c>
      <c r="D1484" s="4" t="s">
        <v>61</v>
      </c>
      <c r="E1484">
        <v>936</v>
      </c>
      <c r="F1484">
        <v>417530</v>
      </c>
      <c r="G1484">
        <v>286855</v>
      </c>
    </row>
    <row r="1485" spans="1:7" x14ac:dyDescent="0.25">
      <c r="A1485" s="5">
        <v>43596</v>
      </c>
      <c r="B1485" s="4" t="s">
        <v>116</v>
      </c>
      <c r="C1485" s="4" t="s">
        <v>68</v>
      </c>
      <c r="D1485" s="4" t="s">
        <v>54</v>
      </c>
      <c r="E1485">
        <v>1084</v>
      </c>
      <c r="F1485">
        <v>441750</v>
      </c>
      <c r="G1485">
        <v>244975</v>
      </c>
    </row>
    <row r="1486" spans="1:7" x14ac:dyDescent="0.25">
      <c r="A1486" s="5">
        <v>43603</v>
      </c>
      <c r="B1486" s="4" t="s">
        <v>116</v>
      </c>
      <c r="C1486" s="4" t="s">
        <v>68</v>
      </c>
      <c r="D1486" s="4" t="s">
        <v>67</v>
      </c>
      <c r="E1486">
        <v>940</v>
      </c>
      <c r="F1486">
        <v>425085</v>
      </c>
      <c r="G1486">
        <v>141050</v>
      </c>
    </row>
    <row r="1487" spans="1:7" x14ac:dyDescent="0.25">
      <c r="A1487" s="5">
        <v>43603</v>
      </c>
      <c r="B1487" s="4" t="s">
        <v>116</v>
      </c>
      <c r="C1487" s="4" t="s">
        <v>68</v>
      </c>
      <c r="D1487" s="4" t="s">
        <v>55</v>
      </c>
      <c r="E1487">
        <v>981</v>
      </c>
      <c r="F1487">
        <v>443800</v>
      </c>
      <c r="G1487">
        <v>108315</v>
      </c>
    </row>
    <row r="1488" spans="1:7" x14ac:dyDescent="0.25">
      <c r="A1488" s="5">
        <v>43589</v>
      </c>
      <c r="B1488" s="4" t="s">
        <v>116</v>
      </c>
      <c r="C1488" s="4" t="s">
        <v>68</v>
      </c>
      <c r="D1488" s="4" t="s">
        <v>63</v>
      </c>
      <c r="E1488">
        <v>990</v>
      </c>
      <c r="F1488">
        <v>446090</v>
      </c>
      <c r="G1488">
        <v>348755</v>
      </c>
    </row>
    <row r="1489" spans="1:7" x14ac:dyDescent="0.25">
      <c r="A1489" s="5">
        <v>43596</v>
      </c>
      <c r="B1489" s="4" t="s">
        <v>116</v>
      </c>
      <c r="C1489" s="4" t="s">
        <v>68</v>
      </c>
      <c r="D1489" s="4" t="s">
        <v>54</v>
      </c>
      <c r="E1489">
        <v>1177</v>
      </c>
      <c r="F1489">
        <v>488340</v>
      </c>
      <c r="G1489">
        <v>244975</v>
      </c>
    </row>
    <row r="1490" spans="1:7" x14ac:dyDescent="0.25">
      <c r="A1490" s="5">
        <v>43611</v>
      </c>
      <c r="B1490" s="4" t="s">
        <v>116</v>
      </c>
      <c r="C1490" s="4" t="s">
        <v>68</v>
      </c>
      <c r="D1490" s="4" t="s">
        <v>56</v>
      </c>
      <c r="E1490">
        <v>1037</v>
      </c>
      <c r="F1490">
        <v>478955</v>
      </c>
      <c r="G1490">
        <v>35660</v>
      </c>
    </row>
    <row r="1491" spans="1:7" x14ac:dyDescent="0.25">
      <c r="A1491" s="5">
        <v>43603</v>
      </c>
      <c r="B1491" s="4" t="s">
        <v>116</v>
      </c>
      <c r="C1491" s="4" t="s">
        <v>68</v>
      </c>
      <c r="D1491" s="4" t="s">
        <v>57</v>
      </c>
      <c r="E1491">
        <v>1368</v>
      </c>
      <c r="F1491">
        <v>532315</v>
      </c>
      <c r="G1491">
        <v>252015</v>
      </c>
    </row>
    <row r="1492" spans="1:7" x14ac:dyDescent="0.25">
      <c r="A1492" s="5">
        <v>43589</v>
      </c>
      <c r="B1492" s="4" t="s">
        <v>116</v>
      </c>
      <c r="C1492" s="4" t="s">
        <v>68</v>
      </c>
      <c r="D1492" s="4" t="s">
        <v>71</v>
      </c>
      <c r="E1492">
        <v>1170</v>
      </c>
      <c r="F1492">
        <v>521760</v>
      </c>
      <c r="G1492">
        <v>117850</v>
      </c>
    </row>
    <row r="1493" spans="1:7" x14ac:dyDescent="0.25">
      <c r="A1493" s="5">
        <v>43603</v>
      </c>
      <c r="B1493" s="4" t="s">
        <v>116</v>
      </c>
      <c r="C1493" s="4" t="s">
        <v>68</v>
      </c>
      <c r="D1493" s="4" t="s">
        <v>59</v>
      </c>
      <c r="E1493">
        <v>1118</v>
      </c>
      <c r="F1493">
        <v>516390</v>
      </c>
      <c r="G1493">
        <v>40245</v>
      </c>
    </row>
    <row r="1494" spans="1:7" x14ac:dyDescent="0.25">
      <c r="A1494" s="5">
        <v>43611</v>
      </c>
      <c r="B1494" s="4" t="s">
        <v>116</v>
      </c>
      <c r="C1494" s="4" t="s">
        <v>68</v>
      </c>
      <c r="D1494" s="4" t="s">
        <v>57</v>
      </c>
      <c r="E1494">
        <v>1418</v>
      </c>
      <c r="F1494">
        <v>557445</v>
      </c>
      <c r="G1494">
        <v>145215</v>
      </c>
    </row>
    <row r="1495" spans="1:7" x14ac:dyDescent="0.25">
      <c r="A1495" s="5">
        <v>43611</v>
      </c>
      <c r="B1495" s="4" t="s">
        <v>116</v>
      </c>
      <c r="C1495" s="4" t="s">
        <v>52</v>
      </c>
      <c r="D1495" s="4" t="s">
        <v>56</v>
      </c>
      <c r="E1495">
        <v>1117</v>
      </c>
      <c r="F1495">
        <v>519025</v>
      </c>
      <c r="G1495">
        <v>35660</v>
      </c>
    </row>
    <row r="1496" spans="1:7" x14ac:dyDescent="0.25">
      <c r="A1496" s="5">
        <v>43611</v>
      </c>
      <c r="B1496" s="4" t="s">
        <v>116</v>
      </c>
      <c r="C1496" s="4" t="s">
        <v>52</v>
      </c>
      <c r="D1496" s="4" t="s">
        <v>58</v>
      </c>
      <c r="E1496">
        <v>1161</v>
      </c>
      <c r="F1496">
        <v>530430</v>
      </c>
      <c r="G1496">
        <v>47130</v>
      </c>
    </row>
    <row r="1497" spans="1:7" x14ac:dyDescent="0.25">
      <c r="A1497" s="5">
        <v>43611</v>
      </c>
      <c r="B1497" s="4" t="s">
        <v>116</v>
      </c>
      <c r="C1497" s="4" t="s">
        <v>52</v>
      </c>
      <c r="D1497" s="4" t="s">
        <v>60</v>
      </c>
      <c r="E1497">
        <v>1291</v>
      </c>
      <c r="F1497">
        <v>550995</v>
      </c>
      <c r="G1497">
        <v>89675</v>
      </c>
    </row>
    <row r="1498" spans="1:7" x14ac:dyDescent="0.25">
      <c r="A1498" s="5">
        <v>43596</v>
      </c>
      <c r="B1498" s="4" t="s">
        <v>116</v>
      </c>
      <c r="C1498" s="4" t="s">
        <v>52</v>
      </c>
      <c r="D1498" s="4" t="s">
        <v>57</v>
      </c>
      <c r="E1498">
        <v>1504</v>
      </c>
      <c r="F1498">
        <v>600505</v>
      </c>
      <c r="G1498">
        <v>369615</v>
      </c>
    </row>
    <row r="1499" spans="1:7" x14ac:dyDescent="0.25">
      <c r="A1499" s="5">
        <v>43589</v>
      </c>
      <c r="B1499" s="4" t="s">
        <v>116</v>
      </c>
      <c r="C1499" s="4" t="s">
        <v>52</v>
      </c>
      <c r="D1499" s="4" t="s">
        <v>54</v>
      </c>
      <c r="E1499">
        <v>1365</v>
      </c>
      <c r="F1499">
        <v>582580</v>
      </c>
      <c r="G1499">
        <v>244975</v>
      </c>
    </row>
    <row r="1500" spans="1:7" x14ac:dyDescent="0.25">
      <c r="A1500" s="5">
        <v>43611</v>
      </c>
      <c r="B1500" s="4" t="s">
        <v>116</v>
      </c>
      <c r="C1500" s="4" t="s">
        <v>52</v>
      </c>
      <c r="D1500" s="4" t="s">
        <v>55</v>
      </c>
      <c r="E1500">
        <v>1235</v>
      </c>
      <c r="F1500">
        <v>570740</v>
      </c>
      <c r="G1500">
        <v>43315</v>
      </c>
    </row>
    <row r="1501" spans="1:7" x14ac:dyDescent="0.25">
      <c r="A1501" s="5">
        <v>43603</v>
      </c>
      <c r="B1501" s="4" t="s">
        <v>116</v>
      </c>
      <c r="C1501" s="4" t="s">
        <v>52</v>
      </c>
      <c r="D1501" s="4" t="s">
        <v>64</v>
      </c>
      <c r="E1501">
        <v>1830</v>
      </c>
      <c r="F1501">
        <v>670830</v>
      </c>
      <c r="G1501">
        <v>473595</v>
      </c>
    </row>
    <row r="1502" spans="1:7" x14ac:dyDescent="0.25">
      <c r="A1502" s="5">
        <v>43589</v>
      </c>
      <c r="B1502" s="4" t="s">
        <v>116</v>
      </c>
      <c r="C1502" s="4" t="s">
        <v>52</v>
      </c>
      <c r="D1502" s="4" t="s">
        <v>55</v>
      </c>
      <c r="E1502">
        <v>1303</v>
      </c>
      <c r="F1502">
        <v>604760</v>
      </c>
      <c r="G1502">
        <v>493315</v>
      </c>
    </row>
    <row r="1503" spans="1:7" x14ac:dyDescent="0.25">
      <c r="A1503" s="5">
        <v>43611</v>
      </c>
      <c r="B1503" s="4" t="s">
        <v>116</v>
      </c>
      <c r="C1503" s="4" t="s">
        <v>52</v>
      </c>
      <c r="D1503" s="4" t="s">
        <v>54</v>
      </c>
      <c r="E1503">
        <v>1457</v>
      </c>
      <c r="F1503">
        <v>628304</v>
      </c>
      <c r="G1503">
        <v>2094975</v>
      </c>
    </row>
    <row r="1504" spans="1:7" x14ac:dyDescent="0.25">
      <c r="A1504" s="5">
        <v>43611</v>
      </c>
      <c r="B1504" s="4" t="s">
        <v>116</v>
      </c>
      <c r="C1504" s="4" t="s">
        <v>52</v>
      </c>
      <c r="D1504" s="4" t="s">
        <v>57</v>
      </c>
      <c r="E1504">
        <v>1602</v>
      </c>
      <c r="F1504">
        <v>649455</v>
      </c>
      <c r="G1504">
        <v>2145215</v>
      </c>
    </row>
    <row r="1505" spans="1:7" x14ac:dyDescent="0.25">
      <c r="A1505" s="5">
        <v>43611</v>
      </c>
      <c r="B1505" s="4" t="s">
        <v>116</v>
      </c>
      <c r="C1505" s="4" t="s">
        <v>52</v>
      </c>
      <c r="D1505" s="4" t="s">
        <v>57</v>
      </c>
      <c r="E1505">
        <v>1618</v>
      </c>
      <c r="F1505">
        <v>657175</v>
      </c>
      <c r="G1505">
        <v>2145215</v>
      </c>
    </row>
    <row r="1506" spans="1:7" x14ac:dyDescent="0.25">
      <c r="A1506" s="5">
        <v>43611</v>
      </c>
      <c r="B1506" s="4" t="s">
        <v>116</v>
      </c>
      <c r="C1506" s="4" t="s">
        <v>52</v>
      </c>
      <c r="D1506" s="4" t="s">
        <v>70</v>
      </c>
      <c r="E1506">
        <v>1364</v>
      </c>
      <c r="F1506">
        <v>630335</v>
      </c>
      <c r="G1506">
        <v>2049405</v>
      </c>
    </row>
    <row r="1507" spans="1:7" x14ac:dyDescent="0.25">
      <c r="A1507" s="5">
        <v>43596</v>
      </c>
      <c r="B1507" s="4" t="s">
        <v>116</v>
      </c>
      <c r="C1507" s="4" t="s">
        <v>52</v>
      </c>
      <c r="D1507" s="4" t="s">
        <v>54</v>
      </c>
      <c r="E1507">
        <v>1510</v>
      </c>
      <c r="F1507">
        <v>654940</v>
      </c>
      <c r="G1507">
        <v>373975</v>
      </c>
    </row>
    <row r="1508" spans="1:7" x14ac:dyDescent="0.25">
      <c r="A1508" s="5">
        <v>43596</v>
      </c>
      <c r="B1508" s="4" t="s">
        <v>116</v>
      </c>
      <c r="C1508" s="4" t="s">
        <v>52</v>
      </c>
      <c r="D1508" s="4" t="s">
        <v>54</v>
      </c>
      <c r="E1508">
        <v>1594</v>
      </c>
      <c r="F1508">
        <v>696800</v>
      </c>
      <c r="G1508">
        <v>402975</v>
      </c>
    </row>
    <row r="1509" spans="1:7" x14ac:dyDescent="0.25">
      <c r="A1509" s="5">
        <v>43611</v>
      </c>
      <c r="B1509" s="4" t="s">
        <v>116</v>
      </c>
      <c r="C1509" s="4" t="s">
        <v>52</v>
      </c>
      <c r="D1509" s="4" t="s">
        <v>54</v>
      </c>
      <c r="E1509">
        <v>1606</v>
      </c>
      <c r="F1509">
        <v>702700</v>
      </c>
      <c r="G1509">
        <v>549975</v>
      </c>
    </row>
    <row r="1510" spans="1:7" x14ac:dyDescent="0.25">
      <c r="A1510" s="5">
        <v>43589</v>
      </c>
      <c r="B1510" s="4" t="s">
        <v>116</v>
      </c>
      <c r="C1510" s="4" t="s">
        <v>52</v>
      </c>
      <c r="D1510" s="4" t="s">
        <v>61</v>
      </c>
      <c r="E1510">
        <v>1502</v>
      </c>
      <c r="F1510">
        <v>700750</v>
      </c>
      <c r="G1510">
        <v>501855</v>
      </c>
    </row>
    <row r="1511" spans="1:7" x14ac:dyDescent="0.25">
      <c r="A1511" s="5">
        <v>43603</v>
      </c>
      <c r="B1511" s="4" t="s">
        <v>116</v>
      </c>
      <c r="C1511" s="4" t="s">
        <v>52</v>
      </c>
      <c r="D1511" s="4" t="s">
        <v>53</v>
      </c>
      <c r="E1511">
        <v>1541</v>
      </c>
      <c r="F1511">
        <v>711280</v>
      </c>
      <c r="G1511">
        <v>116185</v>
      </c>
    </row>
    <row r="1512" spans="1:7" x14ac:dyDescent="0.25">
      <c r="A1512" s="5">
        <v>43611</v>
      </c>
      <c r="B1512" s="4" t="s">
        <v>116</v>
      </c>
      <c r="C1512" s="4" t="s">
        <v>52</v>
      </c>
      <c r="D1512" s="4" t="s">
        <v>54</v>
      </c>
      <c r="E1512">
        <v>1756</v>
      </c>
      <c r="F1512">
        <v>777740</v>
      </c>
      <c r="G1512">
        <v>94975</v>
      </c>
    </row>
    <row r="1513" spans="1:7" x14ac:dyDescent="0.25">
      <c r="A1513" s="5">
        <v>43603</v>
      </c>
      <c r="B1513" s="4" t="s">
        <v>116</v>
      </c>
      <c r="C1513" s="4" t="s">
        <v>52</v>
      </c>
      <c r="D1513" s="4" t="s">
        <v>54</v>
      </c>
      <c r="E1513">
        <v>1810</v>
      </c>
      <c r="F1513">
        <v>805080</v>
      </c>
      <c r="G1513">
        <v>350375</v>
      </c>
    </row>
    <row r="1514" spans="1:7" x14ac:dyDescent="0.25">
      <c r="A1514" s="5">
        <v>43603</v>
      </c>
      <c r="B1514" s="4" t="s">
        <v>116</v>
      </c>
      <c r="C1514" s="4" t="s">
        <v>52</v>
      </c>
      <c r="D1514" s="4" t="s">
        <v>64</v>
      </c>
      <c r="E1514">
        <v>2332</v>
      </c>
      <c r="F1514">
        <v>921930</v>
      </c>
      <c r="G1514">
        <v>443595</v>
      </c>
    </row>
    <row r="1515" spans="1:7" x14ac:dyDescent="0.25">
      <c r="A1515" s="5">
        <v>43589</v>
      </c>
      <c r="B1515" s="4" t="s">
        <v>116</v>
      </c>
      <c r="C1515" s="4" t="s">
        <v>52</v>
      </c>
      <c r="D1515" s="4" t="s">
        <v>54</v>
      </c>
      <c r="E1515">
        <v>1981</v>
      </c>
      <c r="F1515">
        <v>890410</v>
      </c>
      <c r="G1515">
        <v>484975</v>
      </c>
    </row>
    <row r="1516" spans="1:7" x14ac:dyDescent="0.25">
      <c r="A1516" s="5">
        <v>43611</v>
      </c>
      <c r="B1516" s="4" t="s">
        <v>116</v>
      </c>
      <c r="C1516" s="4" t="s">
        <v>52</v>
      </c>
      <c r="D1516" s="4" t="s">
        <v>54</v>
      </c>
      <c r="E1516">
        <v>2035</v>
      </c>
      <c r="F1516">
        <v>917410</v>
      </c>
      <c r="G1516">
        <v>94975</v>
      </c>
    </row>
    <row r="1517" spans="1:7" x14ac:dyDescent="0.25">
      <c r="A1517" s="5">
        <v>43589</v>
      </c>
      <c r="B1517" s="4" t="s">
        <v>116</v>
      </c>
      <c r="C1517" s="4" t="s">
        <v>52</v>
      </c>
      <c r="D1517" s="4" t="s">
        <v>60</v>
      </c>
      <c r="E1517">
        <v>2094</v>
      </c>
      <c r="F1517">
        <v>952575</v>
      </c>
      <c r="G1517">
        <v>139675</v>
      </c>
    </row>
    <row r="1518" spans="1:7" x14ac:dyDescent="0.25">
      <c r="A1518" s="5">
        <v>43589</v>
      </c>
      <c r="B1518" s="4" t="s">
        <v>116</v>
      </c>
      <c r="C1518" s="4" t="s">
        <v>52</v>
      </c>
      <c r="D1518" s="4" t="s">
        <v>63</v>
      </c>
      <c r="E1518">
        <v>1973</v>
      </c>
      <c r="F1518">
        <v>937920</v>
      </c>
      <c r="G1518">
        <v>469335</v>
      </c>
    </row>
    <row r="1519" spans="1:7" x14ac:dyDescent="0.25">
      <c r="A1519" s="5">
        <v>43589</v>
      </c>
      <c r="B1519" s="4" t="s">
        <v>116</v>
      </c>
      <c r="C1519" s="4" t="s">
        <v>52</v>
      </c>
      <c r="D1519" s="4" t="s">
        <v>55</v>
      </c>
      <c r="E1519">
        <v>2165</v>
      </c>
      <c r="F1519">
        <v>1035800</v>
      </c>
      <c r="G1519">
        <v>73315</v>
      </c>
    </row>
    <row r="1520" spans="1:7" x14ac:dyDescent="0.25">
      <c r="A1520" s="5">
        <v>43589</v>
      </c>
      <c r="B1520" s="4" t="s">
        <v>116</v>
      </c>
      <c r="C1520" s="4" t="s">
        <v>52</v>
      </c>
      <c r="D1520" s="4" t="s">
        <v>53</v>
      </c>
      <c r="E1520">
        <v>2245</v>
      </c>
      <c r="F1520">
        <v>1063090</v>
      </c>
      <c r="G1520">
        <v>226185</v>
      </c>
    </row>
    <row r="1521" spans="1:7" x14ac:dyDescent="0.25">
      <c r="A1521" s="5">
        <v>43589</v>
      </c>
      <c r="B1521" s="4" t="s">
        <v>116</v>
      </c>
      <c r="C1521" s="4" t="s">
        <v>52</v>
      </c>
      <c r="D1521" s="4" t="s">
        <v>54</v>
      </c>
      <c r="E1521">
        <v>2366</v>
      </c>
      <c r="F1521">
        <v>1083030</v>
      </c>
      <c r="G1521">
        <v>143175</v>
      </c>
    </row>
    <row r="1522" spans="1:7" x14ac:dyDescent="0.25">
      <c r="A1522" s="5">
        <v>43596</v>
      </c>
      <c r="B1522" s="4" t="s">
        <v>116</v>
      </c>
      <c r="C1522" s="4" t="s">
        <v>52</v>
      </c>
      <c r="D1522" s="4" t="s">
        <v>57</v>
      </c>
      <c r="E1522">
        <v>2562</v>
      </c>
      <c r="F1522">
        <v>1129325</v>
      </c>
      <c r="G1522">
        <v>346615</v>
      </c>
    </row>
    <row r="1523" spans="1:7" x14ac:dyDescent="0.25">
      <c r="A1523" s="5">
        <v>43596</v>
      </c>
      <c r="B1523" s="4" t="s">
        <v>116</v>
      </c>
      <c r="C1523" s="4" t="s">
        <v>52</v>
      </c>
      <c r="D1523" s="4" t="s">
        <v>64</v>
      </c>
      <c r="E1523">
        <v>2925</v>
      </c>
      <c r="F1523">
        <v>1218180</v>
      </c>
      <c r="G1523">
        <v>603595</v>
      </c>
    </row>
    <row r="1524" spans="1:7" x14ac:dyDescent="0.25">
      <c r="A1524" s="5">
        <v>43603</v>
      </c>
      <c r="B1524" s="4" t="s">
        <v>116</v>
      </c>
      <c r="C1524" s="4" t="s">
        <v>52</v>
      </c>
      <c r="D1524" s="4" t="s">
        <v>57</v>
      </c>
      <c r="E1524">
        <v>2708</v>
      </c>
      <c r="F1524">
        <v>1202535</v>
      </c>
      <c r="G1524">
        <v>975805</v>
      </c>
    </row>
    <row r="1525" spans="1:7" x14ac:dyDescent="0.25">
      <c r="A1525" s="5">
        <v>43589</v>
      </c>
      <c r="B1525" s="4" t="s">
        <v>116</v>
      </c>
      <c r="C1525" s="4" t="s">
        <v>52</v>
      </c>
      <c r="D1525" s="4" t="s">
        <v>57</v>
      </c>
      <c r="E1525">
        <v>2749</v>
      </c>
      <c r="F1525">
        <v>1222955</v>
      </c>
      <c r="G1525">
        <v>440215</v>
      </c>
    </row>
    <row r="1526" spans="1:7" x14ac:dyDescent="0.25">
      <c r="A1526" s="5">
        <v>43611</v>
      </c>
      <c r="B1526" s="4" t="s">
        <v>116</v>
      </c>
      <c r="C1526" s="4" t="s">
        <v>52</v>
      </c>
      <c r="D1526" s="4" t="s">
        <v>57</v>
      </c>
      <c r="E1526">
        <v>2947</v>
      </c>
      <c r="F1526">
        <v>1321860</v>
      </c>
      <c r="G1526">
        <v>145215</v>
      </c>
    </row>
    <row r="1527" spans="1:7" x14ac:dyDescent="0.25">
      <c r="A1527" s="5">
        <v>43596</v>
      </c>
      <c r="B1527" s="4" t="s">
        <v>116</v>
      </c>
      <c r="C1527" s="4" t="s">
        <v>52</v>
      </c>
      <c r="D1527" s="4" t="s">
        <v>57</v>
      </c>
      <c r="E1527">
        <v>2965</v>
      </c>
      <c r="F1527">
        <v>1330715</v>
      </c>
      <c r="G1527">
        <v>742215</v>
      </c>
    </row>
    <row r="1528" spans="1:7" x14ac:dyDescent="0.25">
      <c r="A1528" s="5">
        <v>43611</v>
      </c>
      <c r="B1528" s="4" t="s">
        <v>116</v>
      </c>
      <c r="C1528" s="4" t="s">
        <v>52</v>
      </c>
      <c r="D1528" s="4" t="s">
        <v>53</v>
      </c>
      <c r="E1528">
        <v>2783</v>
      </c>
      <c r="F1528">
        <v>1332140</v>
      </c>
      <c r="G1528">
        <v>653185</v>
      </c>
    </row>
    <row r="1529" spans="1:7" x14ac:dyDescent="0.25">
      <c r="A1529" s="5">
        <v>43589</v>
      </c>
      <c r="B1529" s="4" t="s">
        <v>116</v>
      </c>
      <c r="C1529" s="4" t="s">
        <v>52</v>
      </c>
      <c r="D1529" s="4" t="s">
        <v>57</v>
      </c>
      <c r="E1529">
        <v>3495</v>
      </c>
      <c r="F1529">
        <v>1595945</v>
      </c>
      <c r="G1529">
        <v>227135</v>
      </c>
    </row>
    <row r="1530" spans="1:7" x14ac:dyDescent="0.25">
      <c r="A1530" s="5">
        <v>43596</v>
      </c>
      <c r="B1530" s="4" t="s">
        <v>116</v>
      </c>
      <c r="C1530" s="4" t="s">
        <v>52</v>
      </c>
      <c r="D1530" s="4" t="s">
        <v>60</v>
      </c>
      <c r="E1530">
        <v>3435</v>
      </c>
      <c r="F1530">
        <v>1623001</v>
      </c>
      <c r="G1530">
        <v>1189675</v>
      </c>
    </row>
    <row r="1531" spans="1:7" x14ac:dyDescent="0.25">
      <c r="A1531" s="5">
        <v>43596</v>
      </c>
      <c r="B1531" s="4" t="s">
        <v>116</v>
      </c>
      <c r="C1531" s="4" t="s">
        <v>52</v>
      </c>
      <c r="D1531" s="4" t="s">
        <v>64</v>
      </c>
      <c r="E1531">
        <v>4029</v>
      </c>
      <c r="F1531">
        <v>1790520</v>
      </c>
      <c r="G1531">
        <v>1333595</v>
      </c>
    </row>
    <row r="1532" spans="1:7" x14ac:dyDescent="0.25">
      <c r="A1532" s="5">
        <v>43611</v>
      </c>
      <c r="B1532" s="4" t="s">
        <v>116</v>
      </c>
      <c r="C1532" s="4" t="s">
        <v>52</v>
      </c>
      <c r="D1532" s="4" t="s">
        <v>64</v>
      </c>
      <c r="E1532">
        <v>4187</v>
      </c>
      <c r="F1532">
        <v>1849110</v>
      </c>
      <c r="G1532">
        <v>1333595</v>
      </c>
    </row>
    <row r="1533" spans="1:7" x14ac:dyDescent="0.25">
      <c r="A1533" s="5">
        <v>43589</v>
      </c>
      <c r="B1533" s="4" t="s">
        <v>116</v>
      </c>
      <c r="C1533" s="4" t="s">
        <v>52</v>
      </c>
      <c r="D1533" s="4" t="s">
        <v>54</v>
      </c>
      <c r="E1533">
        <v>4066</v>
      </c>
      <c r="F1533">
        <v>1981070</v>
      </c>
      <c r="G1533">
        <v>209975</v>
      </c>
    </row>
    <row r="1534" spans="1:7" x14ac:dyDescent="0.25">
      <c r="A1534" s="5">
        <v>43589</v>
      </c>
      <c r="B1534" s="4" t="s">
        <v>116</v>
      </c>
      <c r="C1534" s="4" t="s">
        <v>52</v>
      </c>
      <c r="D1534" s="4" t="s">
        <v>64</v>
      </c>
      <c r="E1534">
        <v>4862</v>
      </c>
      <c r="F1534">
        <v>2187010</v>
      </c>
      <c r="G1534">
        <v>560795</v>
      </c>
    </row>
    <row r="1535" spans="1:7" x14ac:dyDescent="0.25">
      <c r="A1535" s="5">
        <v>43589</v>
      </c>
      <c r="B1535" s="4" t="s">
        <v>116</v>
      </c>
      <c r="C1535" s="4" t="s">
        <v>52</v>
      </c>
      <c r="D1535" s="4" t="s">
        <v>57</v>
      </c>
      <c r="E1535">
        <v>4840</v>
      </c>
      <c r="F1535">
        <v>2268605</v>
      </c>
      <c r="G1535">
        <v>1452215</v>
      </c>
    </row>
    <row r="1536" spans="1:7" x14ac:dyDescent="0.25">
      <c r="A1536" s="5">
        <v>43611</v>
      </c>
      <c r="B1536" s="4" t="s">
        <v>116</v>
      </c>
      <c r="C1536" s="4" t="s">
        <v>52</v>
      </c>
      <c r="D1536" s="4" t="s">
        <v>64</v>
      </c>
      <c r="E1536">
        <v>5237</v>
      </c>
      <c r="F1536">
        <v>2374340</v>
      </c>
      <c r="G1536">
        <v>1540595</v>
      </c>
    </row>
    <row r="1537" spans="1:7" x14ac:dyDescent="0.25">
      <c r="A1537" s="5">
        <v>43611</v>
      </c>
      <c r="B1537" s="4" t="s">
        <v>116</v>
      </c>
      <c r="C1537" s="4" t="s">
        <v>52</v>
      </c>
      <c r="D1537" s="4" t="s">
        <v>57</v>
      </c>
      <c r="E1537">
        <v>6477</v>
      </c>
      <c r="F1537">
        <v>3087095</v>
      </c>
      <c r="G1537">
        <v>149715</v>
      </c>
    </row>
    <row r="1538" spans="1:7" x14ac:dyDescent="0.25">
      <c r="A1538" s="5">
        <v>43589</v>
      </c>
      <c r="B1538" s="4" t="s">
        <v>116</v>
      </c>
      <c r="C1538" s="4" t="s">
        <v>52</v>
      </c>
      <c r="D1538" s="4" t="s">
        <v>64</v>
      </c>
      <c r="E1538">
        <v>7845</v>
      </c>
      <c r="F1538">
        <v>3678380</v>
      </c>
      <c r="G1538">
        <v>383595</v>
      </c>
    </row>
    <row r="1539" spans="1:7" x14ac:dyDescent="0.25">
      <c r="A1539" s="5">
        <v>43589</v>
      </c>
      <c r="B1539" s="4" t="s">
        <v>116</v>
      </c>
      <c r="C1539" s="4" t="s">
        <v>52</v>
      </c>
      <c r="D1539" s="4" t="s">
        <v>57</v>
      </c>
      <c r="E1539">
        <v>7697</v>
      </c>
      <c r="F1539">
        <v>3697015</v>
      </c>
      <c r="G1539">
        <v>453215</v>
      </c>
    </row>
    <row r="1540" spans="1:7" x14ac:dyDescent="0.25">
      <c r="A1540" s="5">
        <v>43587</v>
      </c>
      <c r="B1540" s="4" t="s">
        <v>116</v>
      </c>
      <c r="C1540" s="4" t="s">
        <v>72</v>
      </c>
      <c r="D1540" s="4" t="s">
        <v>57</v>
      </c>
      <c r="E1540">
        <v>638</v>
      </c>
      <c r="F1540">
        <v>167505</v>
      </c>
      <c r="G1540">
        <v>145215</v>
      </c>
    </row>
    <row r="1541" spans="1:7" x14ac:dyDescent="0.25">
      <c r="A1541" s="5">
        <v>43587</v>
      </c>
      <c r="B1541" s="4" t="s">
        <v>116</v>
      </c>
      <c r="C1541" s="4" t="s">
        <v>72</v>
      </c>
      <c r="D1541" s="4" t="s">
        <v>55</v>
      </c>
      <c r="E1541">
        <v>141</v>
      </c>
      <c r="F1541">
        <v>24070</v>
      </c>
      <c r="G1541">
        <v>79315</v>
      </c>
    </row>
    <row r="1542" spans="1:7" x14ac:dyDescent="0.25">
      <c r="A1542" s="5">
        <v>43588</v>
      </c>
      <c r="B1542" s="4" t="s">
        <v>116</v>
      </c>
      <c r="C1542" s="4" t="s">
        <v>72</v>
      </c>
      <c r="D1542" s="4" t="s">
        <v>57</v>
      </c>
      <c r="E1542">
        <v>2061</v>
      </c>
      <c r="F1542">
        <v>878690</v>
      </c>
      <c r="G1542">
        <v>245215</v>
      </c>
    </row>
    <row r="1543" spans="1:7" x14ac:dyDescent="0.25">
      <c r="A1543" s="5">
        <v>43588</v>
      </c>
      <c r="B1543" s="4" t="s">
        <v>116</v>
      </c>
      <c r="C1543" s="4" t="s">
        <v>72</v>
      </c>
      <c r="D1543" s="4" t="s">
        <v>53</v>
      </c>
      <c r="E1543">
        <v>368</v>
      </c>
      <c r="F1543">
        <v>124540</v>
      </c>
      <c r="G1543">
        <v>56185</v>
      </c>
    </row>
    <row r="1544" spans="1:7" x14ac:dyDescent="0.25">
      <c r="A1544" s="5">
        <v>43588</v>
      </c>
      <c r="B1544" s="4" t="s">
        <v>116</v>
      </c>
      <c r="C1544" s="4" t="s">
        <v>72</v>
      </c>
      <c r="D1544" s="4" t="s">
        <v>62</v>
      </c>
      <c r="E1544">
        <v>257</v>
      </c>
      <c r="F1544">
        <v>100575</v>
      </c>
      <c r="G1544">
        <v>25975</v>
      </c>
    </row>
    <row r="1545" spans="1:7" x14ac:dyDescent="0.25">
      <c r="A1545" s="5">
        <v>43588</v>
      </c>
      <c r="B1545" s="4" t="s">
        <v>116</v>
      </c>
      <c r="C1545" s="4" t="s">
        <v>72</v>
      </c>
      <c r="D1545" s="4" t="s">
        <v>56</v>
      </c>
      <c r="E1545">
        <v>250</v>
      </c>
      <c r="F1545">
        <v>85765</v>
      </c>
      <c r="G1545">
        <v>35660</v>
      </c>
    </row>
    <row r="1546" spans="1:7" x14ac:dyDescent="0.25">
      <c r="A1546" s="5">
        <v>43589</v>
      </c>
      <c r="B1546" s="4" t="s">
        <v>116</v>
      </c>
      <c r="C1546" s="4" t="s">
        <v>72</v>
      </c>
      <c r="D1546" s="4" t="s">
        <v>60</v>
      </c>
      <c r="E1546">
        <v>369</v>
      </c>
      <c r="F1546">
        <v>89965</v>
      </c>
      <c r="G1546">
        <v>89675</v>
      </c>
    </row>
    <row r="1547" spans="1:7" x14ac:dyDescent="0.25">
      <c r="A1547" s="5">
        <v>43589</v>
      </c>
      <c r="B1547" s="4" t="s">
        <v>116</v>
      </c>
      <c r="C1547" s="4" t="s">
        <v>72</v>
      </c>
      <c r="D1547" s="4" t="s">
        <v>57</v>
      </c>
      <c r="E1547">
        <v>596</v>
      </c>
      <c r="F1547">
        <v>146389</v>
      </c>
      <c r="G1547">
        <v>165215</v>
      </c>
    </row>
    <row r="1548" spans="1:7" x14ac:dyDescent="0.25">
      <c r="A1548" s="5">
        <v>43589</v>
      </c>
      <c r="B1548" s="4" t="s">
        <v>116</v>
      </c>
      <c r="C1548" s="4" t="s">
        <v>72</v>
      </c>
      <c r="D1548" s="4" t="s">
        <v>55</v>
      </c>
      <c r="E1548">
        <v>740</v>
      </c>
      <c r="F1548">
        <v>323235</v>
      </c>
      <c r="G1548">
        <v>63315</v>
      </c>
    </row>
    <row r="1549" spans="1:7" x14ac:dyDescent="0.25">
      <c r="A1549" s="5">
        <v>43589</v>
      </c>
      <c r="B1549" s="4" t="s">
        <v>116</v>
      </c>
      <c r="C1549" s="4" t="s">
        <v>72</v>
      </c>
      <c r="D1549" s="4" t="s">
        <v>53</v>
      </c>
      <c r="E1549">
        <v>263</v>
      </c>
      <c r="F1549">
        <v>72275</v>
      </c>
      <c r="G1549">
        <v>56185</v>
      </c>
    </row>
    <row r="1550" spans="1:7" x14ac:dyDescent="0.25">
      <c r="A1550" s="5">
        <v>43590</v>
      </c>
      <c r="B1550" s="4" t="s">
        <v>116</v>
      </c>
      <c r="C1550" s="4" t="s">
        <v>72</v>
      </c>
      <c r="D1550" s="4" t="s">
        <v>61</v>
      </c>
      <c r="E1550">
        <v>508</v>
      </c>
      <c r="F1550">
        <v>203860</v>
      </c>
      <c r="G1550">
        <v>88855</v>
      </c>
    </row>
    <row r="1551" spans="1:7" x14ac:dyDescent="0.25">
      <c r="A1551" s="5">
        <v>43590</v>
      </c>
      <c r="B1551" s="4" t="s">
        <v>116</v>
      </c>
      <c r="C1551" s="4" t="s">
        <v>72</v>
      </c>
      <c r="D1551" s="4" t="s">
        <v>55</v>
      </c>
      <c r="E1551">
        <v>161</v>
      </c>
      <c r="F1551">
        <v>34060</v>
      </c>
      <c r="G1551">
        <v>48215</v>
      </c>
    </row>
    <row r="1552" spans="1:7" x14ac:dyDescent="0.25">
      <c r="A1552" s="5">
        <v>43591</v>
      </c>
      <c r="B1552" s="4" t="s">
        <v>116</v>
      </c>
      <c r="C1552" s="4" t="s">
        <v>72</v>
      </c>
      <c r="D1552" s="4" t="s">
        <v>63</v>
      </c>
      <c r="E1552">
        <v>229</v>
      </c>
      <c r="F1552">
        <v>65950</v>
      </c>
      <c r="G1552">
        <v>46435</v>
      </c>
    </row>
    <row r="1553" spans="1:7" x14ac:dyDescent="0.25">
      <c r="A1553" s="5">
        <v>43592</v>
      </c>
      <c r="B1553" s="4" t="s">
        <v>116</v>
      </c>
      <c r="C1553" s="4" t="s">
        <v>72</v>
      </c>
      <c r="D1553" s="4" t="s">
        <v>61</v>
      </c>
      <c r="E1553">
        <v>190</v>
      </c>
      <c r="F1553">
        <v>44550</v>
      </c>
      <c r="G1553">
        <v>47185</v>
      </c>
    </row>
    <row r="1554" spans="1:7" x14ac:dyDescent="0.25">
      <c r="A1554" s="5">
        <v>43594</v>
      </c>
      <c r="B1554" s="4" t="s">
        <v>116</v>
      </c>
      <c r="C1554" s="4" t="s">
        <v>72</v>
      </c>
      <c r="D1554" s="4" t="s">
        <v>55</v>
      </c>
      <c r="E1554">
        <v>188</v>
      </c>
      <c r="F1554">
        <v>47560</v>
      </c>
      <c r="G1554">
        <v>63315</v>
      </c>
    </row>
    <row r="1555" spans="1:7" x14ac:dyDescent="0.25">
      <c r="A1555" s="5">
        <v>43594</v>
      </c>
      <c r="B1555" s="4" t="s">
        <v>116</v>
      </c>
      <c r="C1555" s="4" t="s">
        <v>72</v>
      </c>
      <c r="D1555" s="4" t="s">
        <v>63</v>
      </c>
      <c r="E1555">
        <v>204</v>
      </c>
      <c r="F1555">
        <v>53260</v>
      </c>
      <c r="G1555">
        <v>56365</v>
      </c>
    </row>
    <row r="1556" spans="1:7" x14ac:dyDescent="0.25">
      <c r="A1556" s="5">
        <v>43595</v>
      </c>
      <c r="B1556" s="4" t="s">
        <v>116</v>
      </c>
      <c r="C1556" s="4" t="s">
        <v>72</v>
      </c>
      <c r="D1556" s="4" t="s">
        <v>53</v>
      </c>
      <c r="E1556">
        <v>265</v>
      </c>
      <c r="F1556">
        <v>73170</v>
      </c>
      <c r="G1556">
        <v>66185</v>
      </c>
    </row>
    <row r="1557" spans="1:7" x14ac:dyDescent="0.25">
      <c r="A1557" s="5">
        <v>43595</v>
      </c>
      <c r="B1557" s="4" t="s">
        <v>116</v>
      </c>
      <c r="C1557" s="4" t="s">
        <v>72</v>
      </c>
      <c r="D1557" s="4" t="s">
        <v>63</v>
      </c>
      <c r="E1557">
        <v>142</v>
      </c>
      <c r="F1557">
        <v>22315</v>
      </c>
      <c r="G1557">
        <v>44435</v>
      </c>
    </row>
    <row r="1558" spans="1:7" x14ac:dyDescent="0.25">
      <c r="A1558" s="5">
        <v>43595</v>
      </c>
      <c r="B1558" s="4" t="s">
        <v>116</v>
      </c>
      <c r="C1558" s="4" t="s">
        <v>72</v>
      </c>
      <c r="D1558" s="4" t="s">
        <v>57</v>
      </c>
      <c r="E1558">
        <v>497</v>
      </c>
      <c r="F1558">
        <v>97015</v>
      </c>
      <c r="G1558">
        <v>145215</v>
      </c>
    </row>
    <row r="1559" spans="1:7" x14ac:dyDescent="0.25">
      <c r="A1559" s="5">
        <v>43595</v>
      </c>
      <c r="B1559" s="4" t="s">
        <v>116</v>
      </c>
      <c r="C1559" s="4" t="s">
        <v>72</v>
      </c>
      <c r="D1559" s="4" t="s">
        <v>62</v>
      </c>
      <c r="E1559">
        <v>89</v>
      </c>
      <c r="F1559">
        <v>16340</v>
      </c>
      <c r="G1559">
        <v>29975</v>
      </c>
    </row>
    <row r="1560" spans="1:7" x14ac:dyDescent="0.25">
      <c r="A1560" s="5">
        <v>43596</v>
      </c>
      <c r="B1560" s="4" t="s">
        <v>116</v>
      </c>
      <c r="C1560" s="4" t="s">
        <v>72</v>
      </c>
      <c r="D1560" s="4" t="s">
        <v>65</v>
      </c>
      <c r="E1560">
        <v>210</v>
      </c>
      <c r="F1560">
        <v>89865</v>
      </c>
      <c r="G1560">
        <v>38525</v>
      </c>
    </row>
    <row r="1561" spans="1:7" x14ac:dyDescent="0.25">
      <c r="A1561" s="5">
        <v>43596</v>
      </c>
      <c r="B1561" s="4" t="s">
        <v>116</v>
      </c>
      <c r="C1561" s="4" t="s">
        <v>72</v>
      </c>
      <c r="D1561" s="4" t="s">
        <v>63</v>
      </c>
      <c r="E1561">
        <v>165</v>
      </c>
      <c r="F1561">
        <v>33751</v>
      </c>
      <c r="G1561">
        <v>64435</v>
      </c>
    </row>
    <row r="1562" spans="1:7" x14ac:dyDescent="0.25">
      <c r="A1562" s="5">
        <v>43596</v>
      </c>
      <c r="B1562" s="4" t="s">
        <v>116</v>
      </c>
      <c r="C1562" s="4" t="s">
        <v>72</v>
      </c>
      <c r="D1562" s="4" t="s">
        <v>55</v>
      </c>
      <c r="E1562">
        <v>174</v>
      </c>
      <c r="F1562">
        <v>40250</v>
      </c>
      <c r="G1562">
        <v>63315</v>
      </c>
    </row>
    <row r="1563" spans="1:7" x14ac:dyDescent="0.25">
      <c r="A1563" s="5">
        <v>43597</v>
      </c>
      <c r="B1563" s="4" t="s">
        <v>116</v>
      </c>
      <c r="C1563" s="4" t="s">
        <v>72</v>
      </c>
      <c r="D1563" s="4" t="s">
        <v>57</v>
      </c>
      <c r="E1563">
        <v>628</v>
      </c>
      <c r="F1563">
        <v>162235</v>
      </c>
      <c r="G1563">
        <v>145215</v>
      </c>
    </row>
    <row r="1564" spans="1:7" x14ac:dyDescent="0.25">
      <c r="A1564" s="5">
        <v>43597</v>
      </c>
      <c r="B1564" s="4" t="s">
        <v>116</v>
      </c>
      <c r="C1564" s="4" t="s">
        <v>72</v>
      </c>
      <c r="D1564" s="4" t="s">
        <v>60</v>
      </c>
      <c r="E1564">
        <v>541</v>
      </c>
      <c r="F1564">
        <v>175825</v>
      </c>
      <c r="G1564">
        <v>89675</v>
      </c>
    </row>
    <row r="1565" spans="1:7" x14ac:dyDescent="0.25">
      <c r="A1565" s="5">
        <v>43597</v>
      </c>
      <c r="B1565" s="4" t="s">
        <v>116</v>
      </c>
      <c r="C1565" s="4" t="s">
        <v>72</v>
      </c>
      <c r="D1565" s="4" t="s">
        <v>57</v>
      </c>
      <c r="E1565">
        <v>455</v>
      </c>
      <c r="F1565">
        <v>76015</v>
      </c>
      <c r="G1565">
        <v>147865</v>
      </c>
    </row>
    <row r="1566" spans="1:7" x14ac:dyDescent="0.25">
      <c r="A1566" s="5">
        <v>43597</v>
      </c>
      <c r="B1566" s="4" t="s">
        <v>116</v>
      </c>
      <c r="C1566" s="4" t="s">
        <v>72</v>
      </c>
      <c r="D1566" s="4" t="s">
        <v>55</v>
      </c>
      <c r="E1566">
        <v>235</v>
      </c>
      <c r="F1566">
        <v>70715</v>
      </c>
      <c r="G1566">
        <v>59745</v>
      </c>
    </row>
    <row r="1567" spans="1:7" x14ac:dyDescent="0.25">
      <c r="A1567" s="5">
        <v>43598</v>
      </c>
      <c r="B1567" s="4" t="s">
        <v>116</v>
      </c>
      <c r="C1567" s="4" t="s">
        <v>72</v>
      </c>
      <c r="D1567" s="4" t="s">
        <v>55</v>
      </c>
      <c r="E1567">
        <v>131</v>
      </c>
      <c r="F1567">
        <v>19070</v>
      </c>
      <c r="G1567">
        <v>43315</v>
      </c>
    </row>
    <row r="1568" spans="1:7" x14ac:dyDescent="0.25">
      <c r="A1568" s="5">
        <v>43598</v>
      </c>
      <c r="B1568" s="4" t="s">
        <v>116</v>
      </c>
      <c r="C1568" s="4" t="s">
        <v>72</v>
      </c>
      <c r="D1568" s="4" t="s">
        <v>54</v>
      </c>
      <c r="E1568">
        <v>290</v>
      </c>
      <c r="F1568">
        <v>44980</v>
      </c>
      <c r="G1568">
        <v>94975</v>
      </c>
    </row>
    <row r="1569" spans="1:7" x14ac:dyDescent="0.25">
      <c r="A1569" s="5">
        <v>43601</v>
      </c>
      <c r="B1569" s="4" t="s">
        <v>116</v>
      </c>
      <c r="C1569" s="4" t="s">
        <v>72</v>
      </c>
      <c r="D1569" s="4" t="s">
        <v>55</v>
      </c>
      <c r="E1569">
        <v>136</v>
      </c>
      <c r="F1569">
        <v>21605</v>
      </c>
      <c r="G1569">
        <v>43315</v>
      </c>
    </row>
    <row r="1570" spans="1:7" x14ac:dyDescent="0.25">
      <c r="A1570" s="5">
        <v>43601</v>
      </c>
      <c r="B1570" s="4" t="s">
        <v>116</v>
      </c>
      <c r="C1570" s="4" t="s">
        <v>72</v>
      </c>
      <c r="D1570" s="4" t="s">
        <v>57</v>
      </c>
      <c r="E1570">
        <v>453</v>
      </c>
      <c r="F1570">
        <v>75005</v>
      </c>
      <c r="G1570">
        <v>145215</v>
      </c>
    </row>
    <row r="1571" spans="1:7" x14ac:dyDescent="0.25">
      <c r="A1571" s="5">
        <v>43602</v>
      </c>
      <c r="B1571" s="4" t="s">
        <v>116</v>
      </c>
      <c r="C1571" s="4" t="s">
        <v>72</v>
      </c>
      <c r="D1571" s="4" t="s">
        <v>55</v>
      </c>
      <c r="E1571">
        <v>143</v>
      </c>
      <c r="F1571">
        <v>24795</v>
      </c>
      <c r="G1571">
        <v>98305</v>
      </c>
    </row>
    <row r="1572" spans="1:7" x14ac:dyDescent="0.25">
      <c r="A1572" s="5">
        <v>43602</v>
      </c>
      <c r="B1572" s="4" t="s">
        <v>116</v>
      </c>
      <c r="C1572" s="4" t="s">
        <v>72</v>
      </c>
      <c r="D1572" s="4" t="s">
        <v>53</v>
      </c>
      <c r="E1572">
        <v>235</v>
      </c>
      <c r="F1572">
        <v>57990</v>
      </c>
      <c r="G1572">
        <v>76185</v>
      </c>
    </row>
    <row r="1573" spans="1:7" x14ac:dyDescent="0.25">
      <c r="A1573" s="5">
        <v>43603</v>
      </c>
      <c r="B1573" s="4" t="s">
        <v>116</v>
      </c>
      <c r="C1573" s="4" t="s">
        <v>72</v>
      </c>
      <c r="D1573" s="4" t="s">
        <v>55</v>
      </c>
      <c r="E1573">
        <v>165</v>
      </c>
      <c r="F1573">
        <v>35960</v>
      </c>
      <c r="G1573">
        <v>99355</v>
      </c>
    </row>
    <row r="1574" spans="1:7" x14ac:dyDescent="0.25">
      <c r="A1574" s="5">
        <v>43603</v>
      </c>
      <c r="B1574" s="4" t="s">
        <v>116</v>
      </c>
      <c r="C1574" s="4" t="s">
        <v>72</v>
      </c>
      <c r="D1574" s="4" t="s">
        <v>53</v>
      </c>
      <c r="E1574">
        <v>233</v>
      </c>
      <c r="F1574">
        <v>57080</v>
      </c>
      <c r="G1574">
        <v>56185</v>
      </c>
    </row>
    <row r="1575" spans="1:7" x14ac:dyDescent="0.25">
      <c r="A1575" s="5">
        <v>43604</v>
      </c>
      <c r="B1575" s="4" t="s">
        <v>116</v>
      </c>
      <c r="C1575" s="4" t="s">
        <v>72</v>
      </c>
      <c r="D1575" s="4" t="s">
        <v>57</v>
      </c>
      <c r="E1575">
        <v>1478</v>
      </c>
      <c r="F1575">
        <v>587365</v>
      </c>
      <c r="G1575">
        <v>145215</v>
      </c>
    </row>
    <row r="1576" spans="1:7" x14ac:dyDescent="0.25">
      <c r="A1576" s="5">
        <v>43604</v>
      </c>
      <c r="B1576" s="4" t="s">
        <v>116</v>
      </c>
      <c r="C1576" s="4" t="s">
        <v>72</v>
      </c>
      <c r="D1576" s="4" t="s">
        <v>55</v>
      </c>
      <c r="E1576">
        <v>187</v>
      </c>
      <c r="F1576">
        <v>47010</v>
      </c>
      <c r="G1576">
        <v>93315</v>
      </c>
    </row>
    <row r="1577" spans="1:7" x14ac:dyDescent="0.25">
      <c r="A1577" s="5">
        <v>43605</v>
      </c>
      <c r="B1577" s="4" t="s">
        <v>116</v>
      </c>
      <c r="C1577" s="4" t="s">
        <v>72</v>
      </c>
      <c r="D1577" s="4" t="s">
        <v>61</v>
      </c>
      <c r="E1577">
        <v>163</v>
      </c>
      <c r="F1577">
        <v>31170</v>
      </c>
      <c r="G1577">
        <v>50855</v>
      </c>
    </row>
    <row r="1578" spans="1:7" x14ac:dyDescent="0.25">
      <c r="A1578" s="5">
        <v>43605</v>
      </c>
      <c r="B1578" s="4" t="s">
        <v>116</v>
      </c>
      <c r="C1578" s="4" t="s">
        <v>72</v>
      </c>
      <c r="D1578" s="4" t="s">
        <v>55</v>
      </c>
      <c r="E1578">
        <v>327</v>
      </c>
      <c r="F1578">
        <v>116760</v>
      </c>
      <c r="G1578">
        <v>63315</v>
      </c>
    </row>
    <row r="1579" spans="1:7" x14ac:dyDescent="0.25">
      <c r="A1579" s="5">
        <v>43605</v>
      </c>
      <c r="B1579" s="4" t="s">
        <v>116</v>
      </c>
      <c r="C1579" s="4" t="s">
        <v>72</v>
      </c>
      <c r="D1579" s="4" t="s">
        <v>56</v>
      </c>
      <c r="E1579">
        <v>224</v>
      </c>
      <c r="F1579">
        <v>72805</v>
      </c>
      <c r="G1579">
        <v>65360</v>
      </c>
    </row>
    <row r="1580" spans="1:7" x14ac:dyDescent="0.25">
      <c r="A1580" s="5">
        <v>43605</v>
      </c>
      <c r="B1580" s="4" t="s">
        <v>116</v>
      </c>
      <c r="C1580" s="4" t="s">
        <v>72</v>
      </c>
      <c r="D1580" s="4" t="s">
        <v>56</v>
      </c>
      <c r="E1580">
        <v>160</v>
      </c>
      <c r="F1580">
        <v>40505</v>
      </c>
      <c r="G1580">
        <v>63060</v>
      </c>
    </row>
    <row r="1581" spans="1:7" x14ac:dyDescent="0.25">
      <c r="A1581" s="5">
        <v>43605</v>
      </c>
      <c r="B1581" s="4" t="s">
        <v>116</v>
      </c>
      <c r="C1581" s="4" t="s">
        <v>72</v>
      </c>
      <c r="D1581" s="4" t="s">
        <v>65</v>
      </c>
      <c r="E1581">
        <v>119</v>
      </c>
      <c r="F1581">
        <v>44435</v>
      </c>
      <c r="G1581">
        <v>13465</v>
      </c>
    </row>
    <row r="1582" spans="1:7" x14ac:dyDescent="0.25">
      <c r="A1582" s="5">
        <v>43606</v>
      </c>
      <c r="B1582" s="4" t="s">
        <v>116</v>
      </c>
      <c r="C1582" s="4" t="s">
        <v>72</v>
      </c>
      <c r="D1582" s="4" t="s">
        <v>66</v>
      </c>
      <c r="E1582">
        <v>498</v>
      </c>
      <c r="F1582">
        <v>221185</v>
      </c>
      <c r="G1582">
        <v>25950</v>
      </c>
    </row>
    <row r="1583" spans="1:7" x14ac:dyDescent="0.25">
      <c r="A1583" s="5">
        <v>43606</v>
      </c>
      <c r="B1583" s="4" t="s">
        <v>116</v>
      </c>
      <c r="C1583" s="4" t="s">
        <v>72</v>
      </c>
      <c r="D1583" s="4" t="s">
        <v>55</v>
      </c>
      <c r="E1583">
        <v>245</v>
      </c>
      <c r="F1583">
        <v>76020</v>
      </c>
      <c r="G1583">
        <v>83415</v>
      </c>
    </row>
    <row r="1584" spans="1:7" x14ac:dyDescent="0.25">
      <c r="A1584" s="5">
        <v>43608</v>
      </c>
      <c r="B1584" s="4" t="s">
        <v>116</v>
      </c>
      <c r="C1584" s="4" t="s">
        <v>72</v>
      </c>
      <c r="D1584" s="4" t="s">
        <v>58</v>
      </c>
      <c r="E1584">
        <v>293</v>
      </c>
      <c r="F1584">
        <v>96070</v>
      </c>
      <c r="G1584">
        <v>75880</v>
      </c>
    </row>
    <row r="1585" spans="1:7" x14ac:dyDescent="0.25">
      <c r="A1585" s="5">
        <v>43609</v>
      </c>
      <c r="B1585" s="4" t="s">
        <v>116</v>
      </c>
      <c r="C1585" s="4" t="s">
        <v>72</v>
      </c>
      <c r="D1585" s="4" t="s">
        <v>55</v>
      </c>
      <c r="E1585">
        <v>158</v>
      </c>
      <c r="F1585">
        <v>32610</v>
      </c>
      <c r="G1585">
        <v>43315</v>
      </c>
    </row>
    <row r="1586" spans="1:7" x14ac:dyDescent="0.25">
      <c r="A1586" s="5">
        <v>43610</v>
      </c>
      <c r="B1586" s="4" t="s">
        <v>116</v>
      </c>
      <c r="C1586" s="4" t="s">
        <v>72</v>
      </c>
      <c r="D1586" s="4" t="s">
        <v>55</v>
      </c>
      <c r="E1586">
        <v>173</v>
      </c>
      <c r="F1586">
        <v>40025</v>
      </c>
      <c r="G1586">
        <v>71415</v>
      </c>
    </row>
    <row r="1587" spans="1:7" x14ac:dyDescent="0.25">
      <c r="A1587" s="5">
        <v>43610</v>
      </c>
      <c r="B1587" s="4" t="s">
        <v>116</v>
      </c>
      <c r="C1587" s="4" t="s">
        <v>72</v>
      </c>
      <c r="D1587" s="4" t="s">
        <v>60</v>
      </c>
      <c r="E1587">
        <v>330</v>
      </c>
      <c r="F1587">
        <v>70214</v>
      </c>
      <c r="G1587">
        <v>114675</v>
      </c>
    </row>
    <row r="1588" spans="1:7" x14ac:dyDescent="0.25">
      <c r="A1588" s="5">
        <v>43610</v>
      </c>
      <c r="B1588" s="4" t="s">
        <v>116</v>
      </c>
      <c r="C1588" s="4" t="s">
        <v>72</v>
      </c>
      <c r="D1588" s="4" t="s">
        <v>66</v>
      </c>
      <c r="E1588">
        <v>91</v>
      </c>
      <c r="F1588">
        <v>17335</v>
      </c>
      <c r="G1588">
        <v>26750</v>
      </c>
    </row>
    <row r="1589" spans="1:7" x14ac:dyDescent="0.25">
      <c r="A1589" s="5">
        <v>43611</v>
      </c>
      <c r="B1589" s="4" t="s">
        <v>116</v>
      </c>
      <c r="C1589" s="4" t="s">
        <v>72</v>
      </c>
      <c r="D1589" s="4" t="s">
        <v>57</v>
      </c>
      <c r="E1589">
        <v>591</v>
      </c>
      <c r="F1589">
        <v>143735</v>
      </c>
      <c r="G1589">
        <v>145215</v>
      </c>
    </row>
    <row r="1590" spans="1:7" x14ac:dyDescent="0.25">
      <c r="A1590" s="5">
        <v>43611</v>
      </c>
      <c r="B1590" s="4" t="s">
        <v>116</v>
      </c>
      <c r="C1590" s="4" t="s">
        <v>72</v>
      </c>
      <c r="D1590" s="4" t="s">
        <v>55</v>
      </c>
      <c r="E1590">
        <v>341</v>
      </c>
      <c r="F1590">
        <v>124010</v>
      </c>
      <c r="G1590">
        <v>43315</v>
      </c>
    </row>
    <row r="1591" spans="1:7" x14ac:dyDescent="0.25">
      <c r="A1591" s="5">
        <v>43612</v>
      </c>
      <c r="B1591" s="4" t="s">
        <v>116</v>
      </c>
      <c r="C1591" s="4" t="s">
        <v>72</v>
      </c>
      <c r="D1591" s="4" t="s">
        <v>55</v>
      </c>
      <c r="E1591">
        <v>205</v>
      </c>
      <c r="F1591">
        <v>56100</v>
      </c>
      <c r="G1591">
        <v>68315</v>
      </c>
    </row>
    <row r="1592" spans="1:7" x14ac:dyDescent="0.25">
      <c r="A1592" s="5">
        <v>43612</v>
      </c>
      <c r="B1592" s="4" t="s">
        <v>116</v>
      </c>
      <c r="C1592" s="4" t="s">
        <v>72</v>
      </c>
      <c r="D1592" s="4" t="s">
        <v>53</v>
      </c>
      <c r="E1592">
        <v>300</v>
      </c>
      <c r="F1592">
        <v>90650</v>
      </c>
      <c r="G1592">
        <v>56185</v>
      </c>
    </row>
    <row r="1593" spans="1:7" x14ac:dyDescent="0.25">
      <c r="A1593" s="5">
        <v>43613</v>
      </c>
      <c r="B1593" s="4" t="s">
        <v>116</v>
      </c>
      <c r="C1593" s="4" t="s">
        <v>72</v>
      </c>
      <c r="D1593" s="4" t="s">
        <v>55</v>
      </c>
      <c r="E1593">
        <v>185</v>
      </c>
      <c r="F1593">
        <v>45820</v>
      </c>
      <c r="G1593">
        <v>105815</v>
      </c>
    </row>
    <row r="1594" spans="1:7" x14ac:dyDescent="0.25">
      <c r="A1594" s="5">
        <v>43613</v>
      </c>
      <c r="B1594" s="4" t="s">
        <v>116</v>
      </c>
      <c r="C1594" s="4" t="s">
        <v>72</v>
      </c>
      <c r="D1594" s="4" t="s">
        <v>53</v>
      </c>
      <c r="E1594">
        <v>168</v>
      </c>
      <c r="F1594">
        <v>24835</v>
      </c>
      <c r="G1594">
        <v>56185</v>
      </c>
    </row>
    <row r="1595" spans="1:7" x14ac:dyDescent="0.25">
      <c r="A1595" s="5">
        <v>43613</v>
      </c>
      <c r="B1595" s="4" t="s">
        <v>116</v>
      </c>
      <c r="C1595" s="4" t="s">
        <v>72</v>
      </c>
      <c r="D1595" s="4" t="s">
        <v>56</v>
      </c>
      <c r="E1595">
        <v>159</v>
      </c>
      <c r="F1595">
        <v>40105</v>
      </c>
      <c r="G1595">
        <v>50660</v>
      </c>
    </row>
    <row r="1596" spans="1:7" x14ac:dyDescent="0.25">
      <c r="A1596" s="5">
        <v>43615</v>
      </c>
      <c r="B1596" s="4" t="s">
        <v>116</v>
      </c>
      <c r="C1596" s="4" t="s">
        <v>72</v>
      </c>
      <c r="D1596" s="4" t="s">
        <v>58</v>
      </c>
      <c r="E1596">
        <v>194</v>
      </c>
      <c r="F1596">
        <v>46920</v>
      </c>
      <c r="G1596">
        <v>47130</v>
      </c>
    </row>
    <row r="1597" spans="1:7" x14ac:dyDescent="0.25">
      <c r="A1597" s="5">
        <v>43615</v>
      </c>
      <c r="B1597" s="4" t="s">
        <v>116</v>
      </c>
      <c r="C1597" s="4" t="s">
        <v>72</v>
      </c>
      <c r="D1597" s="4" t="s">
        <v>55</v>
      </c>
      <c r="E1597">
        <v>169</v>
      </c>
      <c r="F1597">
        <v>38150</v>
      </c>
      <c r="G1597">
        <v>43315</v>
      </c>
    </row>
    <row r="1598" spans="1:7" x14ac:dyDescent="0.25">
      <c r="A1598" s="5">
        <v>43589</v>
      </c>
      <c r="B1598" s="4" t="s">
        <v>116</v>
      </c>
      <c r="C1598" s="4" t="s">
        <v>73</v>
      </c>
      <c r="D1598" s="4" t="s">
        <v>64</v>
      </c>
      <c r="E1598">
        <v>1165</v>
      </c>
      <c r="F1598">
        <v>338535</v>
      </c>
      <c r="G1598">
        <v>233595</v>
      </c>
    </row>
    <row r="1599" spans="1:7" x14ac:dyDescent="0.25">
      <c r="A1599" s="5">
        <v>43589</v>
      </c>
      <c r="B1599" s="4" t="s">
        <v>116</v>
      </c>
      <c r="C1599" s="4" t="s">
        <v>73</v>
      </c>
      <c r="D1599" s="4" t="s">
        <v>61</v>
      </c>
      <c r="E1599">
        <v>770</v>
      </c>
      <c r="F1599">
        <v>334675</v>
      </c>
      <c r="G1599">
        <v>50855</v>
      </c>
    </row>
    <row r="1600" spans="1:7" x14ac:dyDescent="0.25">
      <c r="A1600" s="5">
        <v>43589</v>
      </c>
      <c r="B1600" s="4" t="s">
        <v>116</v>
      </c>
      <c r="C1600" s="4" t="s">
        <v>73</v>
      </c>
      <c r="D1600" s="4" t="s">
        <v>61</v>
      </c>
      <c r="E1600">
        <v>385</v>
      </c>
      <c r="F1600">
        <v>142415</v>
      </c>
      <c r="G1600">
        <v>105855</v>
      </c>
    </row>
    <row r="1601" spans="1:7" x14ac:dyDescent="0.25">
      <c r="A1601" s="5">
        <v>43589</v>
      </c>
      <c r="B1601" s="4" t="s">
        <v>116</v>
      </c>
      <c r="C1601" s="4" t="s">
        <v>73</v>
      </c>
      <c r="D1601" s="4" t="s">
        <v>54</v>
      </c>
      <c r="E1601">
        <v>1723</v>
      </c>
      <c r="F1601">
        <v>761225</v>
      </c>
      <c r="G1601">
        <v>104975</v>
      </c>
    </row>
    <row r="1602" spans="1:7" x14ac:dyDescent="0.25">
      <c r="A1602" s="5">
        <v>43589</v>
      </c>
      <c r="B1602" s="4" t="s">
        <v>116</v>
      </c>
      <c r="C1602" s="4" t="s">
        <v>73</v>
      </c>
      <c r="D1602" s="4" t="s">
        <v>71</v>
      </c>
      <c r="E1602">
        <v>244</v>
      </c>
      <c r="F1602">
        <v>58895</v>
      </c>
      <c r="G1602">
        <v>58970</v>
      </c>
    </row>
    <row r="1603" spans="1:7" x14ac:dyDescent="0.25">
      <c r="A1603" s="5">
        <v>43589</v>
      </c>
      <c r="B1603" s="4" t="s">
        <v>116</v>
      </c>
      <c r="C1603" s="4" t="s">
        <v>73</v>
      </c>
      <c r="D1603" s="4" t="s">
        <v>57</v>
      </c>
      <c r="E1603">
        <v>599</v>
      </c>
      <c r="F1603">
        <v>147665</v>
      </c>
      <c r="G1603">
        <v>145215</v>
      </c>
    </row>
    <row r="1604" spans="1:7" x14ac:dyDescent="0.25">
      <c r="A1604" s="5">
        <v>43589</v>
      </c>
      <c r="B1604" s="4" t="s">
        <v>116</v>
      </c>
      <c r="C1604" s="4" t="s">
        <v>73</v>
      </c>
      <c r="D1604" s="4" t="s">
        <v>57</v>
      </c>
      <c r="E1604">
        <v>1460</v>
      </c>
      <c r="F1604">
        <v>578535</v>
      </c>
      <c r="G1604">
        <v>145215</v>
      </c>
    </row>
    <row r="1605" spans="1:7" x14ac:dyDescent="0.25">
      <c r="A1605" s="5">
        <v>43589</v>
      </c>
      <c r="B1605" s="4" t="s">
        <v>116</v>
      </c>
      <c r="C1605" s="4" t="s">
        <v>73</v>
      </c>
      <c r="D1605" s="4" t="s">
        <v>57</v>
      </c>
      <c r="E1605">
        <v>532</v>
      </c>
      <c r="F1605">
        <v>114235</v>
      </c>
      <c r="G1605">
        <v>147215</v>
      </c>
    </row>
    <row r="1606" spans="1:7" x14ac:dyDescent="0.25">
      <c r="A1606" s="5">
        <v>43589</v>
      </c>
      <c r="B1606" s="4" t="s">
        <v>116</v>
      </c>
      <c r="C1606" s="4" t="s">
        <v>73</v>
      </c>
      <c r="D1606" s="4" t="s">
        <v>64</v>
      </c>
      <c r="E1606">
        <v>2704</v>
      </c>
      <c r="F1606">
        <v>1107905</v>
      </c>
      <c r="G1606">
        <v>233595</v>
      </c>
    </row>
    <row r="1607" spans="1:7" x14ac:dyDescent="0.25">
      <c r="A1607" s="5">
        <v>43589</v>
      </c>
      <c r="B1607" s="4" t="s">
        <v>116</v>
      </c>
      <c r="C1607" s="4" t="s">
        <v>73</v>
      </c>
      <c r="D1607" s="4" t="s">
        <v>62</v>
      </c>
      <c r="E1607">
        <v>214</v>
      </c>
      <c r="F1607">
        <v>78800</v>
      </c>
      <c r="G1607">
        <v>25975</v>
      </c>
    </row>
    <row r="1608" spans="1:7" x14ac:dyDescent="0.25">
      <c r="A1608" s="5">
        <v>43589</v>
      </c>
      <c r="B1608" s="4" t="s">
        <v>116</v>
      </c>
      <c r="C1608" s="4" t="s">
        <v>73</v>
      </c>
      <c r="D1608" s="4" t="s">
        <v>58</v>
      </c>
      <c r="E1608">
        <v>251</v>
      </c>
      <c r="F1608">
        <v>75195</v>
      </c>
      <c r="G1608">
        <v>67130</v>
      </c>
    </row>
    <row r="1609" spans="1:7" x14ac:dyDescent="0.25">
      <c r="A1609" s="5">
        <v>43589</v>
      </c>
      <c r="B1609" s="4" t="s">
        <v>116</v>
      </c>
      <c r="C1609" s="4" t="s">
        <v>73</v>
      </c>
      <c r="D1609" s="4" t="s">
        <v>56</v>
      </c>
      <c r="E1609">
        <v>298</v>
      </c>
      <c r="F1609">
        <v>109735</v>
      </c>
      <c r="G1609">
        <v>35660</v>
      </c>
    </row>
    <row r="1610" spans="1:7" x14ac:dyDescent="0.25">
      <c r="A1610" s="5">
        <v>43589</v>
      </c>
      <c r="B1610" s="4" t="s">
        <v>116</v>
      </c>
      <c r="C1610" s="4" t="s">
        <v>73</v>
      </c>
      <c r="D1610" s="4" t="s">
        <v>55</v>
      </c>
      <c r="E1610">
        <v>884</v>
      </c>
      <c r="F1610">
        <v>395230</v>
      </c>
      <c r="G1610">
        <v>43315</v>
      </c>
    </row>
    <row r="1611" spans="1:7" x14ac:dyDescent="0.25">
      <c r="A1611" s="5">
        <v>43589</v>
      </c>
      <c r="B1611" s="4" t="s">
        <v>116</v>
      </c>
      <c r="C1611" s="4" t="s">
        <v>73</v>
      </c>
      <c r="D1611" s="4" t="s">
        <v>66</v>
      </c>
      <c r="E1611">
        <v>614</v>
      </c>
      <c r="F1611">
        <v>278815</v>
      </c>
      <c r="G1611">
        <v>25950</v>
      </c>
    </row>
    <row r="1612" spans="1:7" x14ac:dyDescent="0.25">
      <c r="A1612" s="5">
        <v>43589</v>
      </c>
      <c r="B1612" s="4" t="s">
        <v>116</v>
      </c>
      <c r="C1612" s="4" t="s">
        <v>73</v>
      </c>
      <c r="D1612" s="4" t="s">
        <v>69</v>
      </c>
      <c r="E1612">
        <v>146</v>
      </c>
      <c r="F1612">
        <v>40835</v>
      </c>
      <c r="G1612">
        <v>43590</v>
      </c>
    </row>
    <row r="1613" spans="1:7" x14ac:dyDescent="0.25">
      <c r="A1613" s="5">
        <v>43589</v>
      </c>
      <c r="B1613" s="4" t="s">
        <v>116</v>
      </c>
      <c r="C1613" s="4" t="s">
        <v>73</v>
      </c>
      <c r="D1613" s="4" t="s">
        <v>64</v>
      </c>
      <c r="E1613">
        <v>3960</v>
      </c>
      <c r="F1613">
        <v>1735825</v>
      </c>
      <c r="G1613">
        <v>233595</v>
      </c>
    </row>
    <row r="1614" spans="1:7" x14ac:dyDescent="0.25">
      <c r="A1614" s="5">
        <v>43589</v>
      </c>
      <c r="B1614" s="4" t="s">
        <v>116</v>
      </c>
      <c r="C1614" s="4" t="s">
        <v>73</v>
      </c>
      <c r="D1614" s="4" t="s">
        <v>70</v>
      </c>
      <c r="E1614">
        <v>162</v>
      </c>
      <c r="F1614">
        <v>29035</v>
      </c>
      <c r="G1614">
        <v>54405</v>
      </c>
    </row>
    <row r="1615" spans="1:7" x14ac:dyDescent="0.25">
      <c r="A1615" s="5">
        <v>43589</v>
      </c>
      <c r="B1615" s="4" t="s">
        <v>116</v>
      </c>
      <c r="C1615" s="4" t="s">
        <v>73</v>
      </c>
      <c r="D1615" s="4" t="s">
        <v>63</v>
      </c>
      <c r="E1615">
        <v>384</v>
      </c>
      <c r="F1615">
        <v>143310</v>
      </c>
      <c r="G1615">
        <v>60435</v>
      </c>
    </row>
    <row r="1616" spans="1:7" x14ac:dyDescent="0.25">
      <c r="A1616" s="5">
        <v>43589</v>
      </c>
      <c r="B1616" s="4" t="s">
        <v>116</v>
      </c>
      <c r="C1616" s="4" t="s">
        <v>73</v>
      </c>
      <c r="D1616" s="4" t="s">
        <v>57</v>
      </c>
      <c r="E1616">
        <v>961</v>
      </c>
      <c r="F1616">
        <v>329000</v>
      </c>
      <c r="G1616">
        <v>171215</v>
      </c>
    </row>
    <row r="1617" spans="1:7" x14ac:dyDescent="0.25">
      <c r="A1617" s="5">
        <v>43589</v>
      </c>
      <c r="B1617" s="4" t="s">
        <v>116</v>
      </c>
      <c r="C1617" s="4" t="s">
        <v>73</v>
      </c>
      <c r="D1617" s="4" t="s">
        <v>61</v>
      </c>
      <c r="E1617">
        <v>628</v>
      </c>
      <c r="F1617">
        <v>263640</v>
      </c>
      <c r="G1617">
        <v>50855</v>
      </c>
    </row>
    <row r="1618" spans="1:7" x14ac:dyDescent="0.25">
      <c r="A1618" s="5">
        <v>43589</v>
      </c>
      <c r="B1618" s="4" t="s">
        <v>116</v>
      </c>
      <c r="C1618" s="4" t="s">
        <v>73</v>
      </c>
      <c r="D1618" s="4" t="s">
        <v>55</v>
      </c>
      <c r="E1618">
        <v>157</v>
      </c>
      <c r="F1618">
        <v>32015</v>
      </c>
      <c r="G1618">
        <v>43315</v>
      </c>
    </row>
    <row r="1619" spans="1:7" x14ac:dyDescent="0.25">
      <c r="A1619" s="5">
        <v>43589</v>
      </c>
      <c r="B1619" s="4" t="s">
        <v>116</v>
      </c>
      <c r="C1619" s="4" t="s">
        <v>73</v>
      </c>
      <c r="D1619" s="4" t="s">
        <v>57</v>
      </c>
      <c r="E1619">
        <v>776</v>
      </c>
      <c r="F1619">
        <v>236285</v>
      </c>
      <c r="G1619">
        <v>145215</v>
      </c>
    </row>
    <row r="1620" spans="1:7" x14ac:dyDescent="0.25">
      <c r="A1620" s="5">
        <v>43589</v>
      </c>
      <c r="B1620" s="4" t="s">
        <v>116</v>
      </c>
      <c r="C1620" s="4" t="s">
        <v>73</v>
      </c>
      <c r="D1620" s="4" t="s">
        <v>54</v>
      </c>
      <c r="E1620">
        <v>492</v>
      </c>
      <c r="F1620">
        <v>145710</v>
      </c>
      <c r="G1620">
        <v>94975</v>
      </c>
    </row>
    <row r="1621" spans="1:7" x14ac:dyDescent="0.25">
      <c r="A1621" s="5">
        <v>43589</v>
      </c>
      <c r="B1621" s="4" t="s">
        <v>116</v>
      </c>
      <c r="C1621" s="4" t="s">
        <v>73</v>
      </c>
      <c r="D1621" s="4" t="s">
        <v>61</v>
      </c>
      <c r="E1621">
        <v>326</v>
      </c>
      <c r="F1621">
        <v>112640</v>
      </c>
      <c r="G1621">
        <v>56855</v>
      </c>
    </row>
    <row r="1622" spans="1:7" x14ac:dyDescent="0.25">
      <c r="A1622" s="5">
        <v>43589</v>
      </c>
      <c r="B1622" s="4" t="s">
        <v>116</v>
      </c>
      <c r="C1622" s="4" t="s">
        <v>73</v>
      </c>
      <c r="D1622" s="4" t="s">
        <v>57</v>
      </c>
      <c r="E1622">
        <v>550</v>
      </c>
      <c r="F1622">
        <v>123250</v>
      </c>
      <c r="G1622">
        <v>145215</v>
      </c>
    </row>
    <row r="1623" spans="1:7" x14ac:dyDescent="0.25">
      <c r="A1623" s="5">
        <v>43589</v>
      </c>
      <c r="B1623" s="4" t="s">
        <v>116</v>
      </c>
      <c r="C1623" s="4" t="s">
        <v>73</v>
      </c>
      <c r="D1623" s="4" t="s">
        <v>60</v>
      </c>
      <c r="E1623">
        <v>313</v>
      </c>
      <c r="F1623">
        <v>61955</v>
      </c>
      <c r="G1623">
        <v>89675</v>
      </c>
    </row>
    <row r="1624" spans="1:7" x14ac:dyDescent="0.25">
      <c r="A1624" s="5">
        <v>43596</v>
      </c>
      <c r="B1624" s="4" t="s">
        <v>116</v>
      </c>
      <c r="C1624" s="4" t="s">
        <v>73</v>
      </c>
      <c r="D1624" s="4" t="s">
        <v>64</v>
      </c>
      <c r="E1624">
        <v>867</v>
      </c>
      <c r="F1624">
        <v>189190</v>
      </c>
      <c r="G1624">
        <v>283595</v>
      </c>
    </row>
    <row r="1625" spans="1:7" x14ac:dyDescent="0.25">
      <c r="A1625" s="5">
        <v>43596</v>
      </c>
      <c r="B1625" s="4" t="s">
        <v>116</v>
      </c>
      <c r="C1625" s="4" t="s">
        <v>73</v>
      </c>
      <c r="D1625" s="4" t="s">
        <v>64</v>
      </c>
      <c r="E1625">
        <v>1312</v>
      </c>
      <c r="F1625">
        <v>412005</v>
      </c>
      <c r="G1625">
        <v>403595</v>
      </c>
    </row>
    <row r="1626" spans="1:7" x14ac:dyDescent="0.25">
      <c r="A1626" s="5">
        <v>43596</v>
      </c>
      <c r="B1626" s="4" t="s">
        <v>116</v>
      </c>
      <c r="C1626" s="4" t="s">
        <v>73</v>
      </c>
      <c r="D1626" s="4" t="s">
        <v>53</v>
      </c>
      <c r="E1626">
        <v>547</v>
      </c>
      <c r="F1626">
        <v>214025</v>
      </c>
      <c r="G1626">
        <v>56185</v>
      </c>
    </row>
    <row r="1627" spans="1:7" x14ac:dyDescent="0.25">
      <c r="A1627" s="5">
        <v>43596</v>
      </c>
      <c r="B1627" s="4" t="s">
        <v>116</v>
      </c>
      <c r="C1627" s="4" t="s">
        <v>73</v>
      </c>
      <c r="D1627" s="4" t="s">
        <v>57</v>
      </c>
      <c r="E1627">
        <v>730</v>
      </c>
      <c r="F1627">
        <v>213445</v>
      </c>
      <c r="G1627">
        <v>195215</v>
      </c>
    </row>
    <row r="1628" spans="1:7" x14ac:dyDescent="0.25">
      <c r="A1628" s="5">
        <v>43596</v>
      </c>
      <c r="B1628" s="4" t="s">
        <v>116</v>
      </c>
      <c r="C1628" s="4" t="s">
        <v>73</v>
      </c>
      <c r="D1628" s="4" t="s">
        <v>61</v>
      </c>
      <c r="E1628">
        <v>336</v>
      </c>
      <c r="F1628">
        <v>117570</v>
      </c>
      <c r="G1628">
        <v>136855</v>
      </c>
    </row>
    <row r="1629" spans="1:7" x14ac:dyDescent="0.25">
      <c r="A1629" s="5">
        <v>43596</v>
      </c>
      <c r="B1629" s="4" t="s">
        <v>116</v>
      </c>
      <c r="C1629" s="4" t="s">
        <v>73</v>
      </c>
      <c r="D1629" s="4" t="s">
        <v>57</v>
      </c>
      <c r="E1629">
        <v>504</v>
      </c>
      <c r="F1629">
        <v>100555</v>
      </c>
      <c r="G1629">
        <v>225215</v>
      </c>
    </row>
    <row r="1630" spans="1:7" x14ac:dyDescent="0.25">
      <c r="A1630" s="5">
        <v>43596</v>
      </c>
      <c r="B1630" s="4" t="s">
        <v>116</v>
      </c>
      <c r="C1630" s="4" t="s">
        <v>73</v>
      </c>
      <c r="D1630" s="4" t="s">
        <v>56</v>
      </c>
      <c r="E1630">
        <v>298</v>
      </c>
      <c r="F1630">
        <v>109715</v>
      </c>
      <c r="G1630">
        <v>55660</v>
      </c>
    </row>
    <row r="1631" spans="1:7" x14ac:dyDescent="0.25">
      <c r="A1631" s="5">
        <v>43596</v>
      </c>
      <c r="B1631" s="4" t="s">
        <v>116</v>
      </c>
      <c r="C1631" s="4" t="s">
        <v>73</v>
      </c>
      <c r="D1631" s="4" t="s">
        <v>57</v>
      </c>
      <c r="E1631">
        <v>667</v>
      </c>
      <c r="F1631">
        <v>181985</v>
      </c>
      <c r="G1631">
        <v>145215</v>
      </c>
    </row>
    <row r="1632" spans="1:7" x14ac:dyDescent="0.25">
      <c r="A1632" s="5">
        <v>43596</v>
      </c>
      <c r="B1632" s="4" t="s">
        <v>116</v>
      </c>
      <c r="C1632" s="4" t="s">
        <v>73</v>
      </c>
      <c r="D1632" s="4" t="s">
        <v>55</v>
      </c>
      <c r="E1632">
        <v>278</v>
      </c>
      <c r="F1632">
        <v>92545</v>
      </c>
      <c r="G1632">
        <v>44315</v>
      </c>
    </row>
    <row r="1633" spans="1:7" x14ac:dyDescent="0.25">
      <c r="A1633" s="5">
        <v>43596</v>
      </c>
      <c r="B1633" s="4" t="s">
        <v>116</v>
      </c>
      <c r="C1633" s="4" t="s">
        <v>73</v>
      </c>
      <c r="D1633" s="4" t="s">
        <v>62</v>
      </c>
      <c r="E1633">
        <v>312</v>
      </c>
      <c r="F1633">
        <v>128210</v>
      </c>
      <c r="G1633">
        <v>25975</v>
      </c>
    </row>
    <row r="1634" spans="1:7" x14ac:dyDescent="0.25">
      <c r="A1634" s="5">
        <v>43596</v>
      </c>
      <c r="B1634" s="4" t="s">
        <v>116</v>
      </c>
      <c r="C1634" s="4" t="s">
        <v>73</v>
      </c>
      <c r="D1634" s="4" t="s">
        <v>70</v>
      </c>
      <c r="E1634">
        <v>207</v>
      </c>
      <c r="F1634">
        <v>51635</v>
      </c>
      <c r="G1634">
        <v>49405</v>
      </c>
    </row>
    <row r="1635" spans="1:7" x14ac:dyDescent="0.25">
      <c r="A1635" s="5">
        <v>43596</v>
      </c>
      <c r="B1635" s="4" t="s">
        <v>116</v>
      </c>
      <c r="C1635" s="4" t="s">
        <v>73</v>
      </c>
      <c r="D1635" s="4" t="s">
        <v>56</v>
      </c>
      <c r="E1635">
        <v>282</v>
      </c>
      <c r="F1635">
        <v>101725</v>
      </c>
      <c r="G1635">
        <v>85660</v>
      </c>
    </row>
    <row r="1636" spans="1:7" x14ac:dyDescent="0.25">
      <c r="A1636" s="5">
        <v>43596</v>
      </c>
      <c r="B1636" s="4" t="s">
        <v>116</v>
      </c>
      <c r="C1636" s="4" t="s">
        <v>73</v>
      </c>
      <c r="D1636" s="4" t="s">
        <v>64</v>
      </c>
      <c r="E1636">
        <v>3179</v>
      </c>
      <c r="F1636">
        <v>1345145</v>
      </c>
      <c r="G1636">
        <v>633595</v>
      </c>
    </row>
    <row r="1637" spans="1:7" x14ac:dyDescent="0.25">
      <c r="A1637" s="5">
        <v>43596</v>
      </c>
      <c r="B1637" s="4" t="s">
        <v>116</v>
      </c>
      <c r="C1637" s="4" t="s">
        <v>73</v>
      </c>
      <c r="D1637" s="4" t="s">
        <v>61</v>
      </c>
      <c r="E1637">
        <v>164</v>
      </c>
      <c r="F1637">
        <v>31615</v>
      </c>
      <c r="G1637">
        <v>396855</v>
      </c>
    </row>
    <row r="1638" spans="1:7" x14ac:dyDescent="0.25">
      <c r="A1638" s="5">
        <v>43596</v>
      </c>
      <c r="B1638" s="4" t="s">
        <v>116</v>
      </c>
      <c r="C1638" s="4" t="s">
        <v>73</v>
      </c>
      <c r="D1638" s="4" t="s">
        <v>69</v>
      </c>
      <c r="E1638">
        <v>651</v>
      </c>
      <c r="F1638">
        <v>304711</v>
      </c>
      <c r="G1638">
        <v>328590</v>
      </c>
    </row>
    <row r="1639" spans="1:7" x14ac:dyDescent="0.25">
      <c r="A1639" s="5">
        <v>43596</v>
      </c>
      <c r="B1639" s="4" t="s">
        <v>116</v>
      </c>
      <c r="C1639" s="4" t="s">
        <v>73</v>
      </c>
      <c r="D1639" s="4" t="s">
        <v>54</v>
      </c>
      <c r="E1639">
        <v>625</v>
      </c>
      <c r="F1639">
        <v>212430</v>
      </c>
      <c r="G1639">
        <v>95915</v>
      </c>
    </row>
    <row r="1640" spans="1:7" x14ac:dyDescent="0.25">
      <c r="A1640" s="5">
        <v>43596</v>
      </c>
      <c r="B1640" s="4" t="s">
        <v>116</v>
      </c>
      <c r="C1640" s="4" t="s">
        <v>73</v>
      </c>
      <c r="D1640" s="4" t="s">
        <v>54</v>
      </c>
      <c r="E1640">
        <v>709</v>
      </c>
      <c r="F1640">
        <v>254570</v>
      </c>
      <c r="G1640">
        <v>94975</v>
      </c>
    </row>
    <row r="1641" spans="1:7" x14ac:dyDescent="0.25">
      <c r="A1641" s="5">
        <v>43596</v>
      </c>
      <c r="B1641" s="4" t="s">
        <v>116</v>
      </c>
      <c r="C1641" s="4" t="s">
        <v>73</v>
      </c>
      <c r="D1641" s="4" t="s">
        <v>67</v>
      </c>
      <c r="E1641">
        <v>405</v>
      </c>
      <c r="F1641">
        <v>157675</v>
      </c>
      <c r="G1641">
        <v>91050</v>
      </c>
    </row>
    <row r="1642" spans="1:7" x14ac:dyDescent="0.25">
      <c r="A1642" s="5">
        <v>43596</v>
      </c>
      <c r="B1642" s="4" t="s">
        <v>116</v>
      </c>
      <c r="C1642" s="4" t="s">
        <v>73</v>
      </c>
      <c r="D1642" s="4" t="s">
        <v>71</v>
      </c>
      <c r="E1642">
        <v>555</v>
      </c>
      <c r="F1642">
        <v>213965</v>
      </c>
      <c r="G1642">
        <v>118970</v>
      </c>
    </row>
    <row r="1643" spans="1:7" x14ac:dyDescent="0.25">
      <c r="A1643" s="5">
        <v>43596</v>
      </c>
      <c r="B1643" s="4" t="s">
        <v>116</v>
      </c>
      <c r="C1643" s="4" t="s">
        <v>73</v>
      </c>
      <c r="D1643" s="4" t="s">
        <v>67</v>
      </c>
      <c r="E1643">
        <v>160</v>
      </c>
      <c r="F1643">
        <v>35160</v>
      </c>
      <c r="G1643">
        <v>941050</v>
      </c>
    </row>
    <row r="1644" spans="1:7" x14ac:dyDescent="0.25">
      <c r="A1644" s="5">
        <v>43596</v>
      </c>
      <c r="B1644" s="4" t="s">
        <v>116</v>
      </c>
      <c r="C1644" s="4" t="s">
        <v>73</v>
      </c>
      <c r="D1644" s="4" t="s">
        <v>57</v>
      </c>
      <c r="E1644">
        <v>1323</v>
      </c>
      <c r="F1644">
        <v>509755</v>
      </c>
      <c r="G1644">
        <v>145215</v>
      </c>
    </row>
    <row r="1645" spans="1:7" x14ac:dyDescent="0.25">
      <c r="A1645" s="5">
        <v>43603</v>
      </c>
      <c r="B1645" s="4" t="s">
        <v>116</v>
      </c>
      <c r="C1645" s="4" t="s">
        <v>73</v>
      </c>
      <c r="D1645" s="4" t="s">
        <v>71</v>
      </c>
      <c r="E1645">
        <v>772</v>
      </c>
      <c r="F1645">
        <v>322850</v>
      </c>
      <c r="G1645">
        <v>78970</v>
      </c>
    </row>
    <row r="1646" spans="1:7" x14ac:dyDescent="0.25">
      <c r="A1646" s="5">
        <v>43603</v>
      </c>
      <c r="B1646" s="4" t="s">
        <v>116</v>
      </c>
      <c r="C1646" s="4" t="s">
        <v>73</v>
      </c>
      <c r="D1646" s="4" t="s">
        <v>57</v>
      </c>
      <c r="E1646">
        <v>1286</v>
      </c>
      <c r="F1646">
        <v>491160</v>
      </c>
      <c r="G1646">
        <v>245215</v>
      </c>
    </row>
    <row r="1647" spans="1:7" x14ac:dyDescent="0.25">
      <c r="A1647" s="5">
        <v>43603</v>
      </c>
      <c r="B1647" s="4" t="s">
        <v>116</v>
      </c>
      <c r="C1647" s="4" t="s">
        <v>73</v>
      </c>
      <c r="D1647" s="4" t="s">
        <v>64</v>
      </c>
      <c r="E1647">
        <v>860</v>
      </c>
      <c r="F1647">
        <v>185895</v>
      </c>
      <c r="G1647">
        <v>283595</v>
      </c>
    </row>
    <row r="1648" spans="1:7" x14ac:dyDescent="0.25">
      <c r="A1648" s="5">
        <v>43603</v>
      </c>
      <c r="B1648" s="4" t="s">
        <v>116</v>
      </c>
      <c r="C1648" s="4" t="s">
        <v>73</v>
      </c>
      <c r="D1648" s="4" t="s">
        <v>61</v>
      </c>
      <c r="E1648">
        <v>499</v>
      </c>
      <c r="F1648">
        <v>199450</v>
      </c>
      <c r="G1648">
        <v>155155</v>
      </c>
    </row>
    <row r="1649" spans="1:7" x14ac:dyDescent="0.25">
      <c r="A1649" s="5">
        <v>43603</v>
      </c>
      <c r="B1649" s="4" t="s">
        <v>116</v>
      </c>
      <c r="C1649" s="4" t="s">
        <v>73</v>
      </c>
      <c r="D1649" s="4" t="s">
        <v>57</v>
      </c>
      <c r="E1649">
        <v>813</v>
      </c>
      <c r="F1649">
        <v>254705</v>
      </c>
      <c r="G1649">
        <v>195215</v>
      </c>
    </row>
    <row r="1650" spans="1:7" x14ac:dyDescent="0.25">
      <c r="A1650" s="5">
        <v>43603</v>
      </c>
      <c r="B1650" s="4" t="s">
        <v>116</v>
      </c>
      <c r="C1650" s="4" t="s">
        <v>73</v>
      </c>
      <c r="D1650" s="4" t="s">
        <v>57</v>
      </c>
      <c r="E1650">
        <v>449</v>
      </c>
      <c r="F1650">
        <v>72795</v>
      </c>
      <c r="G1650">
        <v>160215</v>
      </c>
    </row>
    <row r="1651" spans="1:7" x14ac:dyDescent="0.25">
      <c r="A1651" s="5">
        <v>43603</v>
      </c>
      <c r="B1651" s="4" t="s">
        <v>116</v>
      </c>
      <c r="C1651" s="4" t="s">
        <v>73</v>
      </c>
      <c r="D1651" s="4" t="s">
        <v>57</v>
      </c>
      <c r="E1651">
        <v>1131</v>
      </c>
      <c r="F1651">
        <v>414060</v>
      </c>
      <c r="G1651">
        <v>145215</v>
      </c>
    </row>
    <row r="1652" spans="1:7" x14ac:dyDescent="0.25">
      <c r="A1652" s="5">
        <v>43603</v>
      </c>
      <c r="B1652" s="4" t="s">
        <v>116</v>
      </c>
      <c r="C1652" s="4" t="s">
        <v>73</v>
      </c>
      <c r="D1652" s="4" t="s">
        <v>62</v>
      </c>
      <c r="E1652">
        <v>174</v>
      </c>
      <c r="F1652">
        <v>59155</v>
      </c>
      <c r="G1652">
        <v>25975</v>
      </c>
    </row>
    <row r="1653" spans="1:7" x14ac:dyDescent="0.25">
      <c r="A1653" s="5">
        <v>43603</v>
      </c>
      <c r="B1653" s="4" t="s">
        <v>116</v>
      </c>
      <c r="C1653" s="4" t="s">
        <v>73</v>
      </c>
      <c r="D1653" s="4" t="s">
        <v>55</v>
      </c>
      <c r="E1653">
        <v>330</v>
      </c>
      <c r="F1653">
        <v>118205</v>
      </c>
      <c r="G1653">
        <v>93315</v>
      </c>
    </row>
    <row r="1654" spans="1:7" x14ac:dyDescent="0.25">
      <c r="A1654" s="5">
        <v>43603</v>
      </c>
      <c r="B1654" s="4" t="s">
        <v>116</v>
      </c>
      <c r="C1654" s="4" t="s">
        <v>73</v>
      </c>
      <c r="D1654" s="4" t="s">
        <v>54</v>
      </c>
      <c r="E1654">
        <v>357</v>
      </c>
      <c r="F1654">
        <v>78550</v>
      </c>
      <c r="G1654">
        <v>124975</v>
      </c>
    </row>
    <row r="1655" spans="1:7" x14ac:dyDescent="0.25">
      <c r="A1655" s="5">
        <v>43603</v>
      </c>
      <c r="B1655" s="4" t="s">
        <v>116</v>
      </c>
      <c r="C1655" s="4" t="s">
        <v>73</v>
      </c>
      <c r="D1655" s="4" t="s">
        <v>54</v>
      </c>
      <c r="E1655">
        <v>800</v>
      </c>
      <c r="F1655">
        <v>299810</v>
      </c>
      <c r="G1655">
        <v>244975</v>
      </c>
    </row>
    <row r="1656" spans="1:7" x14ac:dyDescent="0.25">
      <c r="A1656" s="5">
        <v>43603</v>
      </c>
      <c r="B1656" s="4" t="s">
        <v>116</v>
      </c>
      <c r="C1656" s="4" t="s">
        <v>73</v>
      </c>
      <c r="D1656" s="4" t="s">
        <v>64</v>
      </c>
      <c r="E1656">
        <v>2404</v>
      </c>
      <c r="F1656">
        <v>958050</v>
      </c>
      <c r="G1656">
        <v>236595</v>
      </c>
    </row>
    <row r="1657" spans="1:7" x14ac:dyDescent="0.25">
      <c r="A1657" s="5">
        <v>43603</v>
      </c>
      <c r="B1657" s="4" t="s">
        <v>116</v>
      </c>
      <c r="C1657" s="4" t="s">
        <v>73</v>
      </c>
      <c r="D1657" s="4" t="s">
        <v>64</v>
      </c>
      <c r="E1657">
        <v>762</v>
      </c>
      <c r="F1657">
        <v>136900</v>
      </c>
      <c r="G1657">
        <v>288595</v>
      </c>
    </row>
    <row r="1658" spans="1:7" x14ac:dyDescent="0.25">
      <c r="A1658" s="5">
        <v>43603</v>
      </c>
      <c r="B1658" s="4" t="s">
        <v>116</v>
      </c>
      <c r="C1658" s="4" t="s">
        <v>73</v>
      </c>
      <c r="D1658" s="4" t="s">
        <v>55</v>
      </c>
      <c r="E1658">
        <v>2145</v>
      </c>
      <c r="F1658">
        <v>1099490</v>
      </c>
      <c r="G1658">
        <v>43315</v>
      </c>
    </row>
    <row r="1659" spans="1:7" x14ac:dyDescent="0.25">
      <c r="A1659" s="5">
        <v>43603</v>
      </c>
      <c r="B1659" s="4" t="s">
        <v>116</v>
      </c>
      <c r="C1659" s="4" t="s">
        <v>73</v>
      </c>
      <c r="D1659" s="4" t="s">
        <v>54</v>
      </c>
      <c r="E1659">
        <v>409</v>
      </c>
      <c r="F1659">
        <v>104525</v>
      </c>
      <c r="G1659">
        <v>94975</v>
      </c>
    </row>
    <row r="1660" spans="1:7" x14ac:dyDescent="0.25">
      <c r="A1660" s="5">
        <v>43603</v>
      </c>
      <c r="B1660" s="4" t="s">
        <v>116</v>
      </c>
      <c r="C1660" s="4" t="s">
        <v>73</v>
      </c>
      <c r="D1660" s="4" t="s">
        <v>54</v>
      </c>
      <c r="E1660">
        <v>619</v>
      </c>
      <c r="F1660">
        <v>209340</v>
      </c>
      <c r="G1660">
        <v>94975</v>
      </c>
    </row>
    <row r="1661" spans="1:7" x14ac:dyDescent="0.25">
      <c r="A1661" s="5">
        <v>43603</v>
      </c>
      <c r="B1661" s="4" t="s">
        <v>116</v>
      </c>
      <c r="C1661" s="4" t="s">
        <v>73</v>
      </c>
      <c r="D1661" s="4" t="s">
        <v>61</v>
      </c>
      <c r="E1661">
        <v>2461</v>
      </c>
      <c r="F1661">
        <v>1180450</v>
      </c>
      <c r="G1661">
        <v>50855</v>
      </c>
    </row>
    <row r="1662" spans="1:7" x14ac:dyDescent="0.25">
      <c r="A1662" s="5">
        <v>43611</v>
      </c>
      <c r="B1662" s="4" t="s">
        <v>116</v>
      </c>
      <c r="C1662" s="4" t="s">
        <v>73</v>
      </c>
      <c r="D1662" s="4" t="s">
        <v>53</v>
      </c>
      <c r="E1662">
        <v>600</v>
      </c>
      <c r="F1662">
        <v>245150</v>
      </c>
      <c r="G1662">
        <v>56185</v>
      </c>
    </row>
    <row r="1663" spans="1:7" x14ac:dyDescent="0.25">
      <c r="A1663" s="5">
        <v>43611</v>
      </c>
      <c r="B1663" s="4" t="s">
        <v>116</v>
      </c>
      <c r="C1663" s="4" t="s">
        <v>73</v>
      </c>
      <c r="D1663" s="4" t="s">
        <v>64</v>
      </c>
      <c r="E1663">
        <v>923</v>
      </c>
      <c r="F1663">
        <v>217145</v>
      </c>
      <c r="G1663">
        <v>233507</v>
      </c>
    </row>
    <row r="1664" spans="1:7" x14ac:dyDescent="0.25">
      <c r="A1664" s="5">
        <v>43611</v>
      </c>
      <c r="B1664" s="4" t="s">
        <v>116</v>
      </c>
      <c r="C1664" s="4" t="s">
        <v>73</v>
      </c>
      <c r="D1664" s="4" t="s">
        <v>57</v>
      </c>
      <c r="E1664">
        <v>844</v>
      </c>
      <c r="F1664">
        <v>270315</v>
      </c>
      <c r="G1664">
        <v>145215</v>
      </c>
    </row>
    <row r="1665" spans="1:7" x14ac:dyDescent="0.25">
      <c r="A1665" s="5">
        <v>43611</v>
      </c>
      <c r="B1665" s="4" t="s">
        <v>116</v>
      </c>
      <c r="C1665" s="4" t="s">
        <v>73</v>
      </c>
      <c r="D1665" s="4" t="s">
        <v>71</v>
      </c>
      <c r="E1665">
        <v>336</v>
      </c>
      <c r="F1665">
        <v>104501</v>
      </c>
      <c r="G1665">
        <v>58970</v>
      </c>
    </row>
    <row r="1666" spans="1:7" x14ac:dyDescent="0.25">
      <c r="A1666" s="5">
        <v>43611</v>
      </c>
      <c r="B1666" s="4" t="s">
        <v>116</v>
      </c>
      <c r="C1666" s="4" t="s">
        <v>73</v>
      </c>
      <c r="D1666" s="4" t="s">
        <v>57</v>
      </c>
      <c r="E1666">
        <v>611</v>
      </c>
      <c r="F1666">
        <v>153665</v>
      </c>
      <c r="G1666">
        <v>145215</v>
      </c>
    </row>
    <row r="1667" spans="1:7" x14ac:dyDescent="0.25">
      <c r="A1667" s="5">
        <v>43611</v>
      </c>
      <c r="B1667" s="4" t="s">
        <v>116</v>
      </c>
      <c r="C1667" s="4" t="s">
        <v>73</v>
      </c>
      <c r="D1667" s="4" t="s">
        <v>57</v>
      </c>
      <c r="E1667">
        <v>771</v>
      </c>
      <c r="F1667">
        <v>233995</v>
      </c>
      <c r="G1667">
        <v>195215</v>
      </c>
    </row>
    <row r="1668" spans="1:7" x14ac:dyDescent="0.25">
      <c r="A1668" s="5">
        <v>43611</v>
      </c>
      <c r="B1668" s="4" t="s">
        <v>116</v>
      </c>
      <c r="C1668" s="4" t="s">
        <v>73</v>
      </c>
      <c r="D1668" s="4" t="s">
        <v>60</v>
      </c>
      <c r="E1668">
        <v>345</v>
      </c>
      <c r="F1668">
        <v>78180</v>
      </c>
      <c r="G1668">
        <v>134875</v>
      </c>
    </row>
    <row r="1669" spans="1:7" x14ac:dyDescent="0.25">
      <c r="A1669" s="5">
        <v>43611</v>
      </c>
      <c r="B1669" s="4" t="s">
        <v>116</v>
      </c>
      <c r="C1669" s="4" t="s">
        <v>73</v>
      </c>
      <c r="D1669" s="4" t="s">
        <v>61</v>
      </c>
      <c r="E1669">
        <v>217</v>
      </c>
      <c r="F1669">
        <v>58360</v>
      </c>
      <c r="G1669">
        <v>50855</v>
      </c>
    </row>
    <row r="1670" spans="1:7" x14ac:dyDescent="0.25">
      <c r="A1670" s="5">
        <v>43611</v>
      </c>
      <c r="B1670" s="4" t="s">
        <v>116</v>
      </c>
      <c r="C1670" s="4" t="s">
        <v>73</v>
      </c>
      <c r="D1670" s="4" t="s">
        <v>57</v>
      </c>
      <c r="E1670">
        <v>2762</v>
      </c>
      <c r="F1670">
        <v>1229395</v>
      </c>
      <c r="G1670">
        <v>320215</v>
      </c>
    </row>
    <row r="1671" spans="1:7" x14ac:dyDescent="0.25">
      <c r="A1671" s="5">
        <v>43611</v>
      </c>
      <c r="B1671" s="4" t="s">
        <v>116</v>
      </c>
      <c r="C1671" s="4" t="s">
        <v>73</v>
      </c>
      <c r="D1671" s="4" t="s">
        <v>62</v>
      </c>
      <c r="E1671">
        <v>417</v>
      </c>
      <c r="F1671">
        <v>180575</v>
      </c>
      <c r="G1671">
        <v>25975</v>
      </c>
    </row>
    <row r="1672" spans="1:7" x14ac:dyDescent="0.25">
      <c r="A1672" s="5">
        <v>43611</v>
      </c>
      <c r="B1672" s="4" t="s">
        <v>116</v>
      </c>
      <c r="C1672" s="4" t="s">
        <v>73</v>
      </c>
      <c r="D1672" s="4" t="s">
        <v>55</v>
      </c>
      <c r="E1672">
        <v>449</v>
      </c>
      <c r="F1672">
        <v>177775</v>
      </c>
      <c r="G1672">
        <v>147308</v>
      </c>
    </row>
    <row r="1673" spans="1:7" x14ac:dyDescent="0.25">
      <c r="A1673" s="5">
        <v>43611</v>
      </c>
      <c r="B1673" s="4" t="s">
        <v>116</v>
      </c>
      <c r="C1673" s="4" t="s">
        <v>73</v>
      </c>
      <c r="D1673" s="4" t="s">
        <v>58</v>
      </c>
      <c r="E1673">
        <v>784</v>
      </c>
      <c r="F1673">
        <v>357670</v>
      </c>
      <c r="G1673">
        <v>77130</v>
      </c>
    </row>
    <row r="1674" spans="1:7" x14ac:dyDescent="0.25">
      <c r="A1674" s="5">
        <v>43611</v>
      </c>
      <c r="B1674" s="4" t="s">
        <v>116</v>
      </c>
      <c r="C1674" s="4" t="s">
        <v>73</v>
      </c>
      <c r="D1674" s="4" t="s">
        <v>56</v>
      </c>
      <c r="E1674">
        <v>720</v>
      </c>
      <c r="F1674">
        <v>320385</v>
      </c>
      <c r="G1674">
        <v>35660</v>
      </c>
    </row>
    <row r="1675" spans="1:7" x14ac:dyDescent="0.25">
      <c r="A1675" s="5">
        <v>43611</v>
      </c>
      <c r="B1675" s="4" t="s">
        <v>116</v>
      </c>
      <c r="C1675" s="4" t="s">
        <v>73</v>
      </c>
      <c r="D1675" s="4" t="s">
        <v>64</v>
      </c>
      <c r="E1675">
        <v>1623</v>
      </c>
      <c r="F1675">
        <v>567375</v>
      </c>
      <c r="G1675">
        <v>233595</v>
      </c>
    </row>
    <row r="1676" spans="1:7" x14ac:dyDescent="0.25">
      <c r="A1676" s="5">
        <v>43611</v>
      </c>
      <c r="B1676" s="4" t="s">
        <v>116</v>
      </c>
      <c r="C1676" s="4" t="s">
        <v>73</v>
      </c>
      <c r="D1676" s="4" t="s">
        <v>54</v>
      </c>
      <c r="E1676">
        <v>472</v>
      </c>
      <c r="F1676">
        <v>135895</v>
      </c>
      <c r="G1676">
        <v>94975</v>
      </c>
    </row>
    <row r="1677" spans="1:7" x14ac:dyDescent="0.25">
      <c r="A1677" s="5">
        <v>43611</v>
      </c>
      <c r="B1677" s="4" t="s">
        <v>116</v>
      </c>
      <c r="C1677" s="4" t="s">
        <v>73</v>
      </c>
      <c r="D1677" s="4" t="s">
        <v>64</v>
      </c>
      <c r="E1677">
        <v>1592</v>
      </c>
      <c r="F1677">
        <v>551790</v>
      </c>
      <c r="G1677">
        <v>233595</v>
      </c>
    </row>
    <row r="1678" spans="1:7" x14ac:dyDescent="0.25">
      <c r="A1678" s="5">
        <v>43611</v>
      </c>
      <c r="B1678" s="4" t="s">
        <v>116</v>
      </c>
      <c r="C1678" s="4" t="s">
        <v>73</v>
      </c>
      <c r="D1678" s="4" t="s">
        <v>70</v>
      </c>
      <c r="E1678">
        <v>210</v>
      </c>
      <c r="F1678">
        <v>53285</v>
      </c>
      <c r="G1678">
        <v>49405</v>
      </c>
    </row>
    <row r="1679" spans="1:7" x14ac:dyDescent="0.25">
      <c r="A1679" s="5">
        <v>43611</v>
      </c>
      <c r="B1679" s="4" t="s">
        <v>116</v>
      </c>
      <c r="C1679" s="4" t="s">
        <v>73</v>
      </c>
      <c r="D1679" s="4" t="s">
        <v>63</v>
      </c>
      <c r="E1679">
        <v>206</v>
      </c>
      <c r="F1679">
        <v>54295</v>
      </c>
      <c r="G1679">
        <v>44435</v>
      </c>
    </row>
    <row r="1680" spans="1:7" x14ac:dyDescent="0.25">
      <c r="A1680" s="5">
        <v>43611</v>
      </c>
      <c r="B1680" s="4" t="s">
        <v>116</v>
      </c>
      <c r="C1680" s="4" t="s">
        <v>73</v>
      </c>
      <c r="D1680" s="4" t="s">
        <v>61</v>
      </c>
      <c r="E1680">
        <v>201</v>
      </c>
      <c r="F1680">
        <v>50050</v>
      </c>
      <c r="G1680">
        <v>50855</v>
      </c>
    </row>
    <row r="1681" spans="1:7" x14ac:dyDescent="0.25">
      <c r="A1681" s="5">
        <v>43611</v>
      </c>
      <c r="B1681" s="4" t="s">
        <v>116</v>
      </c>
      <c r="C1681" s="4" t="s">
        <v>73</v>
      </c>
      <c r="D1681" s="4" t="s">
        <v>57</v>
      </c>
      <c r="E1681">
        <v>734</v>
      </c>
      <c r="F1681">
        <v>215345</v>
      </c>
      <c r="G1681">
        <v>145215</v>
      </c>
    </row>
    <row r="1682" spans="1:7" x14ac:dyDescent="0.25">
      <c r="A1682" s="5">
        <v>43611</v>
      </c>
      <c r="B1682" s="4" t="s">
        <v>116</v>
      </c>
      <c r="C1682" s="4" t="s">
        <v>73</v>
      </c>
      <c r="D1682" s="4" t="s">
        <v>57</v>
      </c>
      <c r="E1682">
        <v>611</v>
      </c>
      <c r="F1682">
        <v>153750</v>
      </c>
      <c r="G1682">
        <v>145215</v>
      </c>
    </row>
    <row r="1683" spans="1:7" x14ac:dyDescent="0.25">
      <c r="A1683" s="5">
        <v>43611</v>
      </c>
      <c r="B1683" s="4" t="s">
        <v>116</v>
      </c>
      <c r="C1683" s="4" t="s">
        <v>73</v>
      </c>
      <c r="D1683" s="4" t="s">
        <v>54</v>
      </c>
      <c r="E1683">
        <v>318</v>
      </c>
      <c r="F1683">
        <v>58710</v>
      </c>
      <c r="G1683">
        <v>94975</v>
      </c>
    </row>
    <row r="1684" spans="1:7" x14ac:dyDescent="0.25">
      <c r="A1684" s="5">
        <v>43611</v>
      </c>
      <c r="B1684" s="4" t="s">
        <v>116</v>
      </c>
      <c r="C1684" s="4" t="s">
        <v>73</v>
      </c>
      <c r="D1684" s="4" t="s">
        <v>66</v>
      </c>
      <c r="E1684">
        <v>161</v>
      </c>
      <c r="F1684">
        <v>52470</v>
      </c>
      <c r="G1684">
        <v>25950</v>
      </c>
    </row>
    <row r="1685" spans="1:7" x14ac:dyDescent="0.25">
      <c r="A1685" s="5">
        <v>43611</v>
      </c>
      <c r="B1685" s="4" t="s">
        <v>116</v>
      </c>
      <c r="C1685" s="4" t="s">
        <v>73</v>
      </c>
      <c r="D1685" s="4" t="s">
        <v>56</v>
      </c>
      <c r="E1685">
        <v>461</v>
      </c>
      <c r="F1685">
        <v>191290</v>
      </c>
      <c r="G1685">
        <v>65660</v>
      </c>
    </row>
  </sheetData>
  <phoneticPr fontId="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9A121-C27A-42A7-8B1B-8CF38B06CE30}">
  <sheetPr codeName="Sheet3"/>
  <dimension ref="A1:AI42"/>
  <sheetViews>
    <sheetView showGridLines="0" showRowColHeaders="0" tabSelected="1" zoomScale="80" zoomScaleNormal="80" workbookViewId="0">
      <selection activeCell="N15" sqref="N15"/>
    </sheetView>
  </sheetViews>
  <sheetFormatPr defaultRowHeight="15" x14ac:dyDescent="0.25"/>
  <cols>
    <col min="1" max="1" width="12" style="43" customWidth="1"/>
    <col min="2" max="9" width="9.140625" style="43"/>
    <col min="10" max="10" width="9" style="43" customWidth="1"/>
    <col min="11" max="11" width="6.140625" style="43" customWidth="1"/>
    <col min="12" max="12" width="45" style="43" customWidth="1"/>
    <col min="13" max="13" width="2.28515625" style="43" customWidth="1"/>
    <col min="14" max="14" width="43.28515625" style="43" customWidth="1"/>
    <col min="15" max="18" width="8.5703125" style="43" customWidth="1"/>
    <col min="19" max="22" width="9.140625" style="43"/>
    <col min="23" max="23" width="19.5703125" style="43" bestFit="1" customWidth="1"/>
    <col min="24" max="24" width="8.42578125" style="43" bestFit="1" customWidth="1"/>
    <col min="25" max="25" width="7.7109375" style="43" bestFit="1" customWidth="1"/>
    <col min="26" max="26" width="12.5703125" style="43" bestFit="1" customWidth="1"/>
    <col min="27" max="28" width="10.85546875" style="43" bestFit="1" customWidth="1"/>
    <col min="29" max="29" width="23.42578125" style="43" bestFit="1" customWidth="1"/>
    <col min="30" max="30" width="24.140625" style="43" bestFit="1" customWidth="1"/>
    <col min="31" max="31" width="9.140625" style="43"/>
    <col min="32" max="32" width="20.5703125" style="43" bestFit="1" customWidth="1"/>
    <col min="33" max="33" width="9.42578125" style="43" bestFit="1" customWidth="1"/>
    <col min="34" max="35" width="13.42578125" style="43" bestFit="1" customWidth="1"/>
    <col min="36" max="16384" width="9.140625" style="43"/>
  </cols>
  <sheetData>
    <row r="1" spans="1:35" x14ac:dyDescent="0.25">
      <c r="A1" s="25"/>
      <c r="B1" s="25"/>
      <c r="C1" s="25"/>
      <c r="D1" s="25"/>
      <c r="E1" s="25"/>
      <c r="F1" s="25"/>
      <c r="G1" s="25"/>
      <c r="H1" s="25"/>
      <c r="I1" s="25"/>
      <c r="J1" s="25"/>
      <c r="K1" s="25"/>
      <c r="L1" s="25"/>
      <c r="M1" s="25"/>
      <c r="N1" s="25"/>
      <c r="O1" s="25"/>
      <c r="P1" s="25"/>
      <c r="Q1" s="25"/>
      <c r="R1" s="25"/>
    </row>
    <row r="2" spans="1:35" x14ac:dyDescent="0.25">
      <c r="A2" s="25"/>
      <c r="B2" s="25"/>
      <c r="C2" s="25"/>
      <c r="D2" s="25"/>
      <c r="E2" s="25"/>
      <c r="F2" s="25"/>
      <c r="G2" s="25"/>
      <c r="H2" s="25"/>
      <c r="I2" s="25"/>
      <c r="J2" s="25"/>
      <c r="K2" s="25"/>
      <c r="L2" s="25"/>
      <c r="M2" s="25"/>
      <c r="N2" s="25"/>
      <c r="O2" s="25"/>
      <c r="P2" s="25"/>
      <c r="Q2" s="25"/>
      <c r="R2" s="25"/>
    </row>
    <row r="3" spans="1:35" x14ac:dyDescent="0.25">
      <c r="A3" s="25"/>
      <c r="B3" s="25"/>
      <c r="C3" s="25"/>
      <c r="D3" s="25"/>
      <c r="E3" s="25"/>
      <c r="F3" s="25"/>
      <c r="G3" s="25"/>
      <c r="H3" s="25"/>
      <c r="I3" s="25"/>
      <c r="J3" s="25"/>
      <c r="K3" s="25"/>
      <c r="L3" s="29"/>
      <c r="M3" s="25"/>
      <c r="N3" s="29"/>
      <c r="O3" s="25"/>
      <c r="P3" s="25"/>
      <c r="Q3" s="25"/>
      <c r="R3" s="25"/>
      <c r="W3" s="11" t="s">
        <v>79</v>
      </c>
      <c r="X3" s="11" t="s">
        <v>80</v>
      </c>
      <c r="Y3" s="11" t="s">
        <v>85</v>
      </c>
      <c r="Z3" s="11" t="s">
        <v>81</v>
      </c>
      <c r="AA3" s="11" t="s">
        <v>82</v>
      </c>
      <c r="AB3" s="11" t="s">
        <v>83</v>
      </c>
      <c r="AC3" s="12" t="str">
        <f>"Output Column"&amp;N15</f>
        <v>Output Column  T Collection</v>
      </c>
      <c r="AD3" s="12" t="s">
        <v>84</v>
      </c>
      <c r="AF3" s="6" t="s">
        <v>77</v>
      </c>
      <c r="AG3" s="1" t="s">
        <v>81</v>
      </c>
      <c r="AH3" s="1" t="s">
        <v>82</v>
      </c>
      <c r="AI3" s="1" t="s">
        <v>83</v>
      </c>
    </row>
    <row r="4" spans="1:35" x14ac:dyDescent="0.25">
      <c r="A4" s="39" t="s">
        <v>111</v>
      </c>
      <c r="B4" s="46">
        <f>GETPIVOTDATA("  Qty",$AF$3)</f>
        <v>905754</v>
      </c>
      <c r="C4" s="47"/>
      <c r="D4" s="25"/>
      <c r="E4" s="25"/>
      <c r="F4" s="25"/>
      <c r="G4" s="25"/>
      <c r="H4" s="25"/>
      <c r="I4" s="25"/>
      <c r="J4" s="25"/>
      <c r="K4" s="25"/>
      <c r="L4" s="29"/>
      <c r="M4" s="25"/>
      <c r="N4" s="29"/>
      <c r="O4" s="25"/>
      <c r="P4" s="25"/>
      <c r="Q4" s="25"/>
      <c r="R4" s="25"/>
      <c r="W4" s="17" t="s">
        <v>53</v>
      </c>
      <c r="X4" s="18">
        <v>12</v>
      </c>
      <c r="Y4" s="18">
        <v>20</v>
      </c>
      <c r="Z4" s="8">
        <f t="shared" ref="Z4:Z21" si="0">IFERROR(GETPIVOTDATA("  Qty",$AF$3,"District",$W4),0)</f>
        <v>54922</v>
      </c>
      <c r="AA4" s="8">
        <f t="shared" ref="AA4:AA21" si="1">IFERROR(GETPIVOTDATA("  T Sale",$AF$3,"District",$W4),0)</f>
        <v>25766823</v>
      </c>
      <c r="AB4" s="8">
        <f t="shared" ref="AB4:AB21" si="2">IFERROR(GETPIVOTDATA("  T Collection",$AF$3,"District",$W4),0)</f>
        <v>20068625</v>
      </c>
      <c r="AC4" s="8">
        <f t="shared" ref="AC4:AC21" si="3">INDEX($Z$4:$AB$21,,MATCH($N$15,$Z$3:$AB$3,0))</f>
        <v>20068625</v>
      </c>
      <c r="AD4" s="19">
        <f t="shared" ref="AD4:AD21" si="4">AC4/$AC$22</f>
        <v>9.5015459037496863E-2</v>
      </c>
      <c r="AF4" s="7" t="s">
        <v>53</v>
      </c>
      <c r="AG4" s="8">
        <v>54922</v>
      </c>
      <c r="AH4" s="38">
        <v>25766823</v>
      </c>
      <c r="AI4" s="38">
        <v>20068625</v>
      </c>
    </row>
    <row r="5" spans="1:35" x14ac:dyDescent="0.25">
      <c r="A5" s="40" t="s">
        <v>112</v>
      </c>
      <c r="B5" s="48">
        <f>GETPIVOTDATA("  T Sale",$AF$3)</f>
        <v>422878906</v>
      </c>
      <c r="C5" s="49"/>
      <c r="D5" s="25"/>
      <c r="E5" s="25"/>
      <c r="F5" s="25"/>
      <c r="G5" s="25"/>
      <c r="H5" s="25"/>
      <c r="I5" s="25"/>
      <c r="J5" s="25"/>
      <c r="K5" s="25"/>
      <c r="L5" s="29"/>
      <c r="M5" s="25"/>
      <c r="N5" s="29"/>
      <c r="O5" s="25"/>
      <c r="P5" s="25"/>
      <c r="Q5" s="25"/>
      <c r="R5" s="25"/>
      <c r="W5" s="17" t="s">
        <v>71</v>
      </c>
      <c r="X5" s="18">
        <v>8</v>
      </c>
      <c r="Y5" s="18">
        <v>16</v>
      </c>
      <c r="Z5" s="8">
        <f t="shared" si="0"/>
        <v>14761</v>
      </c>
      <c r="AA5" s="8">
        <f t="shared" si="1"/>
        <v>6889401</v>
      </c>
      <c r="AB5" s="8">
        <f t="shared" si="2"/>
        <v>2223573</v>
      </c>
      <c r="AC5" s="8">
        <f t="shared" si="3"/>
        <v>2223573</v>
      </c>
      <c r="AD5" s="19">
        <f t="shared" si="4"/>
        <v>1.0527567748083588E-2</v>
      </c>
      <c r="AF5" s="7" t="s">
        <v>71</v>
      </c>
      <c r="AG5" s="8">
        <v>14761</v>
      </c>
      <c r="AH5" s="38">
        <v>6889401</v>
      </c>
      <c r="AI5" s="38">
        <v>2223573</v>
      </c>
    </row>
    <row r="6" spans="1:35" x14ac:dyDescent="0.25">
      <c r="A6" s="40" t="s">
        <v>113</v>
      </c>
      <c r="B6" s="48">
        <f t="shared" ref="B6" si="5">GETPIVOTDATA("  T Collection",$AF$3)</f>
        <v>211214314</v>
      </c>
      <c r="C6" s="49"/>
      <c r="D6" s="25"/>
      <c r="E6" s="25"/>
      <c r="F6" s="25"/>
      <c r="G6" s="25"/>
      <c r="H6" s="25"/>
      <c r="I6" s="25"/>
      <c r="J6" s="25"/>
      <c r="K6" s="25"/>
      <c r="L6" s="29"/>
      <c r="M6" s="25"/>
      <c r="N6" s="29"/>
      <c r="O6" s="25"/>
      <c r="P6" s="25"/>
      <c r="Q6" s="25"/>
      <c r="R6" s="25"/>
      <c r="W6" s="17" t="s">
        <v>62</v>
      </c>
      <c r="X6" s="18">
        <v>10</v>
      </c>
      <c r="Y6" s="18">
        <v>18</v>
      </c>
      <c r="Z6" s="8">
        <f t="shared" si="0"/>
        <v>12038</v>
      </c>
      <c r="AA6" s="8">
        <f t="shared" si="1"/>
        <v>5694930</v>
      </c>
      <c r="AB6" s="8">
        <f t="shared" si="2"/>
        <v>4954874</v>
      </c>
      <c r="AC6" s="8">
        <f t="shared" si="3"/>
        <v>4954874</v>
      </c>
      <c r="AD6" s="19">
        <f t="shared" si="4"/>
        <v>2.3458987727507898E-2</v>
      </c>
      <c r="AF6" s="7" t="s">
        <v>62</v>
      </c>
      <c r="AG6" s="8">
        <v>12038</v>
      </c>
      <c r="AH6" s="38">
        <v>5694930</v>
      </c>
      <c r="AI6" s="38">
        <v>4954874</v>
      </c>
    </row>
    <row r="7" spans="1:35" x14ac:dyDescent="0.25">
      <c r="A7" s="41" t="s">
        <v>114</v>
      </c>
      <c r="B7" s="50">
        <f t="shared" ref="B7" si="6">B6/B5</f>
        <v>0.49946760408995194</v>
      </c>
      <c r="C7" s="51"/>
      <c r="D7" s="25"/>
      <c r="E7" s="25"/>
      <c r="F7" s="25"/>
      <c r="G7" s="25"/>
      <c r="H7" s="25"/>
      <c r="I7" s="25"/>
      <c r="J7" s="25"/>
      <c r="K7" s="25"/>
      <c r="L7" s="29"/>
      <c r="M7" s="25"/>
      <c r="N7" s="29"/>
      <c r="O7" s="25"/>
      <c r="P7" s="25"/>
      <c r="Q7" s="25"/>
      <c r="R7" s="25"/>
      <c r="W7" s="17" t="s">
        <v>58</v>
      </c>
      <c r="X7" s="18">
        <v>3</v>
      </c>
      <c r="Y7" s="18">
        <v>11</v>
      </c>
      <c r="Z7" s="8">
        <f t="shared" si="0"/>
        <v>21738</v>
      </c>
      <c r="AA7" s="8">
        <f t="shared" si="1"/>
        <v>10129946</v>
      </c>
      <c r="AB7" s="8">
        <f t="shared" si="2"/>
        <v>2890197</v>
      </c>
      <c r="AC7" s="8">
        <f t="shared" si="3"/>
        <v>2890197</v>
      </c>
      <c r="AD7" s="19">
        <f t="shared" si="4"/>
        <v>1.3683717477594819E-2</v>
      </c>
      <c r="AF7" s="7" t="s">
        <v>58</v>
      </c>
      <c r="AG7" s="8">
        <v>21738</v>
      </c>
      <c r="AH7" s="38">
        <v>10129946</v>
      </c>
      <c r="AI7" s="38">
        <v>2890197</v>
      </c>
    </row>
    <row r="8" spans="1:35" x14ac:dyDescent="0.25">
      <c r="A8" s="25"/>
      <c r="B8" s="25"/>
      <c r="C8" s="25"/>
      <c r="D8" s="25"/>
      <c r="E8" s="25"/>
      <c r="F8" s="25"/>
      <c r="G8" s="25"/>
      <c r="H8" s="25"/>
      <c r="I8" s="25"/>
      <c r="J8" s="25"/>
      <c r="K8" s="25"/>
      <c r="L8" s="29"/>
      <c r="M8" s="25"/>
      <c r="N8" s="29"/>
      <c r="O8" s="25"/>
      <c r="P8" s="25"/>
      <c r="Q8" s="25"/>
      <c r="R8" s="25"/>
      <c r="W8" s="17" t="s">
        <v>70</v>
      </c>
      <c r="X8" s="18">
        <v>5</v>
      </c>
      <c r="Y8" s="18">
        <v>13</v>
      </c>
      <c r="Z8" s="8">
        <f t="shared" si="0"/>
        <v>12694</v>
      </c>
      <c r="AA8" s="8">
        <f t="shared" si="1"/>
        <v>5884736</v>
      </c>
      <c r="AB8" s="8">
        <f t="shared" si="2"/>
        <v>5857190</v>
      </c>
      <c r="AC8" s="8">
        <f t="shared" si="3"/>
        <v>5857190</v>
      </c>
      <c r="AD8" s="19">
        <f t="shared" si="4"/>
        <v>2.7731027737068994E-2</v>
      </c>
      <c r="AF8" s="7" t="s">
        <v>70</v>
      </c>
      <c r="AG8" s="8">
        <v>12694</v>
      </c>
      <c r="AH8" s="38">
        <v>5884736</v>
      </c>
      <c r="AI8" s="38">
        <v>5857190</v>
      </c>
    </row>
    <row r="9" spans="1:35" x14ac:dyDescent="0.25">
      <c r="A9" s="25"/>
      <c r="B9" s="25"/>
      <c r="C9" s="25"/>
      <c r="D9" s="25"/>
      <c r="E9" s="25"/>
      <c r="F9" s="25"/>
      <c r="G9" s="25"/>
      <c r="H9" s="25"/>
      <c r="I9" s="25"/>
      <c r="J9" s="25"/>
      <c r="K9" s="25"/>
      <c r="L9" s="29"/>
      <c r="M9" s="25"/>
      <c r="N9" s="29"/>
      <c r="O9" s="25"/>
      <c r="P9" s="25"/>
      <c r="Q9" s="25"/>
      <c r="R9" s="25"/>
      <c r="W9" s="17" t="s">
        <v>56</v>
      </c>
      <c r="X9" s="18">
        <v>1</v>
      </c>
      <c r="Y9" s="18">
        <v>9</v>
      </c>
      <c r="Z9" s="8">
        <f t="shared" si="0"/>
        <v>25195</v>
      </c>
      <c r="AA9" s="8">
        <f t="shared" si="1"/>
        <v>11744632</v>
      </c>
      <c r="AB9" s="8">
        <f t="shared" si="2"/>
        <v>8648275</v>
      </c>
      <c r="AC9" s="8">
        <f t="shared" si="3"/>
        <v>8648275</v>
      </c>
      <c r="AD9" s="19">
        <f t="shared" si="4"/>
        <v>4.0945496714772843E-2</v>
      </c>
      <c r="AF9" s="7" t="s">
        <v>56</v>
      </c>
      <c r="AG9" s="8">
        <v>25195</v>
      </c>
      <c r="AH9" s="38">
        <v>11744632</v>
      </c>
      <c r="AI9" s="38">
        <v>8648275</v>
      </c>
    </row>
    <row r="10" spans="1:35" x14ac:dyDescent="0.25">
      <c r="A10" s="25"/>
      <c r="B10" s="25"/>
      <c r="C10" s="25"/>
      <c r="D10" s="25"/>
      <c r="E10" s="25"/>
      <c r="F10" s="25"/>
      <c r="G10" s="25"/>
      <c r="H10" s="25"/>
      <c r="I10" s="25"/>
      <c r="J10" s="25"/>
      <c r="K10" s="25"/>
      <c r="L10" s="29"/>
      <c r="M10" s="25"/>
      <c r="N10" s="29"/>
      <c r="O10" s="25"/>
      <c r="P10" s="25"/>
      <c r="Q10" s="25"/>
      <c r="R10" s="25"/>
      <c r="W10" s="17" t="s">
        <v>65</v>
      </c>
      <c r="X10" s="18">
        <v>13</v>
      </c>
      <c r="Y10" s="18">
        <v>22</v>
      </c>
      <c r="Z10" s="8">
        <f t="shared" si="0"/>
        <v>4737</v>
      </c>
      <c r="AA10" s="8">
        <f t="shared" si="1"/>
        <v>2229948</v>
      </c>
      <c r="AB10" s="8">
        <f t="shared" si="2"/>
        <v>891056</v>
      </c>
      <c r="AC10" s="8">
        <f t="shared" si="3"/>
        <v>891056</v>
      </c>
      <c r="AD10" s="19">
        <f t="shared" si="4"/>
        <v>4.2187292287396774E-3</v>
      </c>
      <c r="AF10" s="7" t="s">
        <v>65</v>
      </c>
      <c r="AG10" s="8">
        <v>4737</v>
      </c>
      <c r="AH10" s="38">
        <v>2229948</v>
      </c>
      <c r="AI10" s="38">
        <v>891056</v>
      </c>
    </row>
    <row r="11" spans="1:35" x14ac:dyDescent="0.25">
      <c r="A11" s="25"/>
      <c r="B11" s="25"/>
      <c r="C11" s="25"/>
      <c r="D11" s="25"/>
      <c r="E11" s="25"/>
      <c r="F11" s="25"/>
      <c r="G11" s="25"/>
      <c r="H11" s="25"/>
      <c r="I11" s="25"/>
      <c r="J11" s="25"/>
      <c r="K11" s="25"/>
      <c r="L11" s="29"/>
      <c r="M11" s="25"/>
      <c r="N11" s="29"/>
      <c r="O11" s="25"/>
      <c r="P11" s="25"/>
      <c r="Q11" s="25"/>
      <c r="R11" s="25"/>
      <c r="W11" s="17" t="s">
        <v>63</v>
      </c>
      <c r="X11" s="18">
        <v>15</v>
      </c>
      <c r="Y11" s="18">
        <v>23</v>
      </c>
      <c r="Z11" s="8">
        <f t="shared" si="0"/>
        <v>16540</v>
      </c>
      <c r="AA11" s="8">
        <f t="shared" si="1"/>
        <v>7621791</v>
      </c>
      <c r="AB11" s="8">
        <f t="shared" si="2"/>
        <v>2820133</v>
      </c>
      <c r="AC11" s="8">
        <f t="shared" si="3"/>
        <v>2820133</v>
      </c>
      <c r="AD11" s="19">
        <f t="shared" si="4"/>
        <v>1.3351997535545815E-2</v>
      </c>
      <c r="AF11" s="7" t="s">
        <v>63</v>
      </c>
      <c r="AG11" s="8">
        <v>16540</v>
      </c>
      <c r="AH11" s="38">
        <v>7621791</v>
      </c>
      <c r="AI11" s="38">
        <v>2820133</v>
      </c>
    </row>
    <row r="12" spans="1:35" x14ac:dyDescent="0.25">
      <c r="A12" s="25"/>
      <c r="B12" s="25"/>
      <c r="C12" s="25"/>
      <c r="D12" s="25"/>
      <c r="E12" s="25"/>
      <c r="F12" s="25"/>
      <c r="G12" s="25"/>
      <c r="H12" s="25"/>
      <c r="I12" s="25"/>
      <c r="J12" s="25"/>
      <c r="K12" s="25"/>
      <c r="L12" s="29"/>
      <c r="M12" s="25"/>
      <c r="N12" s="29"/>
      <c r="O12" s="25"/>
      <c r="P12" s="25"/>
      <c r="Q12" s="25"/>
      <c r="R12" s="25"/>
      <c r="W12" s="17" t="s">
        <v>61</v>
      </c>
      <c r="X12" s="18">
        <v>2</v>
      </c>
      <c r="Y12" s="18">
        <v>10</v>
      </c>
      <c r="Z12" s="8">
        <f t="shared" si="0"/>
        <v>56000</v>
      </c>
      <c r="AA12" s="8">
        <f t="shared" si="1"/>
        <v>26340072</v>
      </c>
      <c r="AB12" s="8">
        <f t="shared" si="2"/>
        <v>16390538</v>
      </c>
      <c r="AC12" s="8">
        <f t="shared" si="3"/>
        <v>16390538</v>
      </c>
      <c r="AD12" s="19">
        <f t="shared" si="4"/>
        <v>7.7601454605960088E-2</v>
      </c>
      <c r="AF12" s="7" t="s">
        <v>61</v>
      </c>
      <c r="AG12" s="8">
        <v>56000</v>
      </c>
      <c r="AH12" s="38">
        <v>26340072</v>
      </c>
      <c r="AI12" s="38">
        <v>16390538</v>
      </c>
    </row>
    <row r="13" spans="1:35" ht="15.75" thickBot="1" x14ac:dyDescent="0.3">
      <c r="A13" s="25"/>
      <c r="B13" s="25"/>
      <c r="C13" s="25"/>
      <c r="D13" s="25"/>
      <c r="E13" s="25"/>
      <c r="F13" s="25"/>
      <c r="G13" s="25"/>
      <c r="H13" s="25"/>
      <c r="I13" s="25"/>
      <c r="J13" s="25"/>
      <c r="K13" s="25"/>
      <c r="L13" s="29"/>
      <c r="M13" s="25"/>
      <c r="N13" s="29"/>
      <c r="O13" s="25"/>
      <c r="P13" s="25"/>
      <c r="Q13" s="25"/>
      <c r="R13" s="25"/>
      <c r="W13" s="17" t="s">
        <v>57</v>
      </c>
      <c r="X13" s="18">
        <v>18</v>
      </c>
      <c r="Y13" s="18">
        <v>26</v>
      </c>
      <c r="Z13" s="8">
        <f t="shared" si="0"/>
        <v>224771</v>
      </c>
      <c r="AA13" s="8">
        <f t="shared" si="1"/>
        <v>103763969</v>
      </c>
      <c r="AB13" s="8">
        <f t="shared" si="2"/>
        <v>45296897</v>
      </c>
      <c r="AC13" s="8">
        <f t="shared" si="3"/>
        <v>45296897</v>
      </c>
      <c r="AD13" s="19">
        <f t="shared" si="4"/>
        <v>0.21445940922356238</v>
      </c>
      <c r="AF13" s="7" t="s">
        <v>57</v>
      </c>
      <c r="AG13" s="8">
        <v>224771</v>
      </c>
      <c r="AH13" s="38">
        <v>103763969</v>
      </c>
      <c r="AI13" s="38">
        <v>45296897</v>
      </c>
    </row>
    <row r="14" spans="1:35" ht="16.5" thickBot="1" x14ac:dyDescent="0.3">
      <c r="A14" s="25"/>
      <c r="B14" s="25"/>
      <c r="C14" s="25"/>
      <c r="D14" s="25"/>
      <c r="E14" s="25"/>
      <c r="F14" s="25"/>
      <c r="G14" s="25"/>
      <c r="H14" s="25"/>
      <c r="I14" s="25"/>
      <c r="J14" s="25"/>
      <c r="K14" s="25"/>
      <c r="L14" s="29"/>
      <c r="M14" s="25"/>
      <c r="N14" s="36" t="s">
        <v>86</v>
      </c>
      <c r="O14" s="25"/>
      <c r="P14" s="25"/>
      <c r="Q14" s="25"/>
      <c r="R14" s="25"/>
      <c r="W14" s="17" t="s">
        <v>66</v>
      </c>
      <c r="X14" s="18">
        <v>6</v>
      </c>
      <c r="Y14" s="18">
        <v>14</v>
      </c>
      <c r="Z14" s="8">
        <f t="shared" si="0"/>
        <v>7106</v>
      </c>
      <c r="AA14" s="8">
        <f t="shared" si="1"/>
        <v>3335397</v>
      </c>
      <c r="AB14" s="8">
        <f t="shared" si="2"/>
        <v>629185</v>
      </c>
      <c r="AC14" s="8">
        <f t="shared" si="3"/>
        <v>629185</v>
      </c>
      <c r="AD14" s="19">
        <f t="shared" si="4"/>
        <v>2.9788937505438196E-3</v>
      </c>
      <c r="AF14" s="7" t="s">
        <v>66</v>
      </c>
      <c r="AG14" s="8">
        <v>7106</v>
      </c>
      <c r="AH14" s="38">
        <v>3335397</v>
      </c>
      <c r="AI14" s="38">
        <v>629185</v>
      </c>
    </row>
    <row r="15" spans="1:35" ht="16.5" thickBot="1" x14ac:dyDescent="0.3">
      <c r="A15" s="25"/>
      <c r="B15" s="25"/>
      <c r="C15" s="25"/>
      <c r="D15" s="25"/>
      <c r="E15" s="25"/>
      <c r="F15" s="25"/>
      <c r="G15" s="25"/>
      <c r="H15" s="25"/>
      <c r="I15" s="25"/>
      <c r="J15" s="25"/>
      <c r="K15" s="25"/>
      <c r="L15" s="29"/>
      <c r="M15" s="25"/>
      <c r="N15" s="37" t="s">
        <v>83</v>
      </c>
      <c r="O15" s="25"/>
      <c r="P15" s="25"/>
      <c r="Q15" s="25"/>
      <c r="R15" s="25"/>
      <c r="W15" s="17" t="s">
        <v>54</v>
      </c>
      <c r="X15" s="18">
        <v>14</v>
      </c>
      <c r="Y15" s="18">
        <v>21</v>
      </c>
      <c r="Z15" s="8">
        <f t="shared" si="0"/>
        <v>124995</v>
      </c>
      <c r="AA15" s="8">
        <f t="shared" si="1"/>
        <v>58442089</v>
      </c>
      <c r="AB15" s="8">
        <f t="shared" si="2"/>
        <v>23967900</v>
      </c>
      <c r="AC15" s="8">
        <f t="shared" si="3"/>
        <v>23967900</v>
      </c>
      <c r="AD15" s="19">
        <f t="shared" si="4"/>
        <v>0.1134766841607146</v>
      </c>
      <c r="AF15" s="7" t="s">
        <v>54</v>
      </c>
      <c r="AG15" s="8">
        <v>124995</v>
      </c>
      <c r="AH15" s="38">
        <v>58442089</v>
      </c>
      <c r="AI15" s="38">
        <v>23967900</v>
      </c>
    </row>
    <row r="16" spans="1:35" x14ac:dyDescent="0.25">
      <c r="A16" s="25"/>
      <c r="B16" s="25"/>
      <c r="C16" s="25"/>
      <c r="D16" s="25"/>
      <c r="E16" s="25"/>
      <c r="F16" s="25"/>
      <c r="G16" s="25"/>
      <c r="H16" s="25"/>
      <c r="I16" s="25"/>
      <c r="J16" s="25"/>
      <c r="K16" s="25"/>
      <c r="L16" s="29"/>
      <c r="M16" s="25"/>
      <c r="N16" s="29"/>
      <c r="O16" s="25"/>
      <c r="P16" s="25"/>
      <c r="Q16" s="25"/>
      <c r="R16" s="25"/>
      <c r="W16" s="17" t="s">
        <v>67</v>
      </c>
      <c r="X16" s="18">
        <v>7</v>
      </c>
      <c r="Y16" s="18">
        <v>15</v>
      </c>
      <c r="Z16" s="8">
        <f t="shared" si="0"/>
        <v>12565</v>
      </c>
      <c r="AA16" s="8">
        <f t="shared" si="1"/>
        <v>5983374</v>
      </c>
      <c r="AB16" s="8">
        <f t="shared" si="2"/>
        <v>11027995</v>
      </c>
      <c r="AC16" s="8">
        <f t="shared" si="3"/>
        <v>11027995</v>
      </c>
      <c r="AD16" s="19">
        <f t="shared" si="4"/>
        <v>5.2212346744643451E-2</v>
      </c>
      <c r="AF16" s="7" t="s">
        <v>67</v>
      </c>
      <c r="AG16" s="8">
        <v>12565</v>
      </c>
      <c r="AH16" s="38">
        <v>5983374</v>
      </c>
      <c r="AI16" s="38">
        <v>11027995</v>
      </c>
    </row>
    <row r="17" spans="1:35" x14ac:dyDescent="0.25">
      <c r="A17" s="25"/>
      <c r="B17" s="25"/>
      <c r="C17" s="25"/>
      <c r="D17" s="25"/>
      <c r="E17" s="25"/>
      <c r="F17" s="25"/>
      <c r="G17" s="25"/>
      <c r="H17" s="25"/>
      <c r="I17" s="25"/>
      <c r="J17" s="25"/>
      <c r="K17" s="25"/>
      <c r="L17" s="29"/>
      <c r="M17" s="25"/>
      <c r="N17" s="29"/>
      <c r="O17" s="25"/>
      <c r="P17" s="25"/>
      <c r="Q17" s="25"/>
      <c r="R17" s="25"/>
      <c r="W17" s="17" t="s">
        <v>59</v>
      </c>
      <c r="X17" s="18">
        <v>9</v>
      </c>
      <c r="Y17" s="18">
        <v>17</v>
      </c>
      <c r="Z17" s="8">
        <f t="shared" si="0"/>
        <v>15260</v>
      </c>
      <c r="AA17" s="8">
        <f t="shared" si="1"/>
        <v>7292913</v>
      </c>
      <c r="AB17" s="8">
        <f t="shared" si="2"/>
        <v>1938666</v>
      </c>
      <c r="AC17" s="8">
        <f t="shared" si="3"/>
        <v>1938666</v>
      </c>
      <c r="AD17" s="19">
        <f t="shared" si="4"/>
        <v>9.1786676920012147E-3</v>
      </c>
      <c r="AF17" s="7" t="s">
        <v>59</v>
      </c>
      <c r="AG17" s="8">
        <v>15260</v>
      </c>
      <c r="AH17" s="38">
        <v>7292913</v>
      </c>
      <c r="AI17" s="38">
        <v>1938666</v>
      </c>
    </row>
    <row r="18" spans="1:35" x14ac:dyDescent="0.25">
      <c r="A18" s="25"/>
      <c r="B18" s="25"/>
      <c r="C18" s="25"/>
      <c r="D18" s="25"/>
      <c r="E18" s="25"/>
      <c r="F18" s="25"/>
      <c r="G18" s="25"/>
      <c r="H18" s="25"/>
      <c r="I18" s="25"/>
      <c r="J18" s="25"/>
      <c r="K18" s="25"/>
      <c r="L18" s="29"/>
      <c r="M18" s="25"/>
      <c r="N18" s="29"/>
      <c r="O18" s="25"/>
      <c r="P18" s="25"/>
      <c r="Q18" s="25"/>
      <c r="R18" s="25"/>
      <c r="W18" s="17" t="s">
        <v>64</v>
      </c>
      <c r="X18" s="18">
        <v>17</v>
      </c>
      <c r="Y18" s="18">
        <v>25</v>
      </c>
      <c r="Z18" s="8">
        <f t="shared" si="0"/>
        <v>172132</v>
      </c>
      <c r="AA18" s="8">
        <f t="shared" si="1"/>
        <v>80227334</v>
      </c>
      <c r="AB18" s="8">
        <f t="shared" si="2"/>
        <v>30800932</v>
      </c>
      <c r="AC18" s="8">
        <f t="shared" si="3"/>
        <v>30800932</v>
      </c>
      <c r="AD18" s="19">
        <f t="shared" si="4"/>
        <v>0.14582786278395884</v>
      </c>
      <c r="AF18" s="7" t="s">
        <v>64</v>
      </c>
      <c r="AG18" s="8">
        <v>172132</v>
      </c>
      <c r="AH18" s="38">
        <v>80227334</v>
      </c>
      <c r="AI18" s="38">
        <v>30800932</v>
      </c>
    </row>
    <row r="19" spans="1:35" x14ac:dyDescent="0.25">
      <c r="A19" s="25"/>
      <c r="B19" s="25"/>
      <c r="C19" s="25"/>
      <c r="D19" s="25"/>
      <c r="E19" s="25"/>
      <c r="F19" s="25"/>
      <c r="G19" s="25"/>
      <c r="H19" s="25"/>
      <c r="I19" s="25"/>
      <c r="J19" s="25"/>
      <c r="K19" s="25"/>
      <c r="L19" s="29"/>
      <c r="M19" s="25"/>
      <c r="N19" s="29"/>
      <c r="O19" s="25"/>
      <c r="P19" s="25"/>
      <c r="Q19" s="25"/>
      <c r="R19" s="25"/>
      <c r="W19" s="17" t="s">
        <v>60</v>
      </c>
      <c r="X19" s="18">
        <v>11</v>
      </c>
      <c r="Y19" s="18">
        <v>19</v>
      </c>
      <c r="Z19" s="8">
        <f t="shared" si="0"/>
        <v>35234</v>
      </c>
      <c r="AA19" s="8">
        <f t="shared" si="1"/>
        <v>16402479</v>
      </c>
      <c r="AB19" s="8">
        <f t="shared" si="2"/>
        <v>8286922</v>
      </c>
      <c r="AC19" s="8">
        <f t="shared" si="3"/>
        <v>8286922</v>
      </c>
      <c r="AD19" s="19">
        <f t="shared" si="4"/>
        <v>3.9234660961472524E-2</v>
      </c>
      <c r="AF19" s="7" t="s">
        <v>60</v>
      </c>
      <c r="AG19" s="8">
        <v>35234</v>
      </c>
      <c r="AH19" s="38">
        <v>16402479</v>
      </c>
      <c r="AI19" s="38">
        <v>8286922</v>
      </c>
    </row>
    <row r="20" spans="1:35" x14ac:dyDescent="0.25">
      <c r="A20" s="25"/>
      <c r="B20" s="25"/>
      <c r="C20" s="25"/>
      <c r="D20" s="25"/>
      <c r="E20" s="25"/>
      <c r="F20" s="25"/>
      <c r="G20" s="25"/>
      <c r="H20" s="25"/>
      <c r="I20" s="25"/>
      <c r="J20" s="25"/>
      <c r="K20" s="25"/>
      <c r="L20" s="29"/>
      <c r="M20" s="25"/>
      <c r="N20" s="29"/>
      <c r="O20" s="25"/>
      <c r="P20" s="25"/>
      <c r="Q20" s="25"/>
      <c r="R20" s="25"/>
      <c r="W20" s="17" t="s">
        <v>55</v>
      </c>
      <c r="X20" s="18">
        <v>16</v>
      </c>
      <c r="Y20" s="18">
        <v>24</v>
      </c>
      <c r="Z20" s="8">
        <f t="shared" si="0"/>
        <v>90324</v>
      </c>
      <c r="AA20" s="8">
        <f t="shared" si="1"/>
        <v>42907583</v>
      </c>
      <c r="AB20" s="8">
        <f t="shared" si="2"/>
        <v>23553488</v>
      </c>
      <c r="AC20" s="8">
        <f t="shared" si="3"/>
        <v>23553488</v>
      </c>
      <c r="AD20" s="19">
        <f t="shared" si="4"/>
        <v>0.11151463910727187</v>
      </c>
      <c r="AF20" s="7" t="s">
        <v>55</v>
      </c>
      <c r="AG20" s="8">
        <v>90324</v>
      </c>
      <c r="AH20" s="38">
        <v>42907583</v>
      </c>
      <c r="AI20" s="38">
        <v>23553488</v>
      </c>
    </row>
    <row r="21" spans="1:35" x14ac:dyDescent="0.25">
      <c r="A21" s="25"/>
      <c r="B21" s="25"/>
      <c r="C21" s="25"/>
      <c r="D21" s="25"/>
      <c r="E21" s="25"/>
      <c r="F21" s="25"/>
      <c r="G21" s="25"/>
      <c r="H21" s="25"/>
      <c r="I21" s="25"/>
      <c r="J21" s="25"/>
      <c r="K21" s="25"/>
      <c r="L21" s="29"/>
      <c r="M21" s="25"/>
      <c r="N21" s="29"/>
      <c r="O21" s="25"/>
      <c r="P21" s="25"/>
      <c r="Q21" s="25"/>
      <c r="R21" s="25"/>
      <c r="W21" s="17" t="s">
        <v>69</v>
      </c>
      <c r="X21" s="18">
        <v>4</v>
      </c>
      <c r="Y21" s="18">
        <v>12</v>
      </c>
      <c r="Z21" s="8">
        <f t="shared" si="0"/>
        <v>4742</v>
      </c>
      <c r="AA21" s="8">
        <f t="shared" si="1"/>
        <v>2221489</v>
      </c>
      <c r="AB21" s="8">
        <f t="shared" si="2"/>
        <v>967868</v>
      </c>
      <c r="AC21" s="8">
        <f t="shared" si="3"/>
        <v>967868</v>
      </c>
      <c r="AD21" s="19">
        <f t="shared" si="4"/>
        <v>4.582397763060699E-3</v>
      </c>
      <c r="AF21" s="7" t="s">
        <v>69</v>
      </c>
      <c r="AG21" s="8">
        <v>4742</v>
      </c>
      <c r="AH21" s="38">
        <v>2221489</v>
      </c>
      <c r="AI21" s="38">
        <v>967868</v>
      </c>
    </row>
    <row r="22" spans="1:35" ht="15.75" thickBot="1" x14ac:dyDescent="0.3">
      <c r="A22" s="25"/>
      <c r="B22" s="25"/>
      <c r="C22" s="25"/>
      <c r="D22" s="25"/>
      <c r="E22" s="25"/>
      <c r="F22" s="25"/>
      <c r="G22" s="25"/>
      <c r="H22" s="25"/>
      <c r="I22" s="25"/>
      <c r="J22" s="25"/>
      <c r="K22" s="25"/>
      <c r="L22" s="29"/>
      <c r="M22" s="25"/>
      <c r="N22" s="29"/>
      <c r="O22" s="25"/>
      <c r="P22" s="25"/>
      <c r="Q22" s="25"/>
      <c r="R22" s="25"/>
      <c r="W22" s="13"/>
      <c r="X22" s="14"/>
      <c r="Y22" s="14"/>
      <c r="Z22" s="14"/>
      <c r="AA22" s="14"/>
      <c r="AB22" s="14"/>
      <c r="AC22" s="15">
        <f>SUM(AC4:AC21)</f>
        <v>211214314</v>
      </c>
      <c r="AD22" s="16">
        <f>SUM(AD4:AD21)</f>
        <v>1</v>
      </c>
      <c r="AF22" s="7" t="s">
        <v>78</v>
      </c>
      <c r="AG22" s="8">
        <v>905754</v>
      </c>
      <c r="AH22" s="38">
        <v>422878906</v>
      </c>
      <c r="AI22" s="38">
        <v>211214314</v>
      </c>
    </row>
    <row r="23" spans="1:35" ht="15.75" thickTop="1" x14ac:dyDescent="0.25">
      <c r="A23" s="25"/>
      <c r="B23" s="25"/>
      <c r="C23" s="25"/>
      <c r="D23" s="25"/>
      <c r="E23" s="25"/>
      <c r="F23" s="25"/>
      <c r="G23" s="25"/>
      <c r="H23" s="25"/>
      <c r="I23" s="25"/>
      <c r="J23" s="25"/>
      <c r="K23" s="25"/>
      <c r="L23" s="29"/>
      <c r="M23" s="25"/>
      <c r="N23" s="25"/>
      <c r="O23" s="25"/>
      <c r="P23" s="25"/>
      <c r="Q23" s="25"/>
      <c r="R23" s="25"/>
    </row>
    <row r="24" spans="1:35" x14ac:dyDescent="0.25">
      <c r="A24" s="25"/>
      <c r="B24" s="25"/>
      <c r="C24" s="25"/>
      <c r="D24" s="25"/>
      <c r="E24" s="25"/>
      <c r="F24" s="25"/>
      <c r="G24" s="25"/>
      <c r="H24" s="25"/>
      <c r="I24" s="25"/>
      <c r="J24" s="25"/>
      <c r="K24" s="25"/>
      <c r="L24" s="29"/>
      <c r="M24" s="25"/>
      <c r="N24" s="25"/>
      <c r="O24" s="25"/>
      <c r="P24" s="25"/>
      <c r="Q24" s="25"/>
      <c r="R24" s="25"/>
    </row>
    <row r="25" spans="1:35" x14ac:dyDescent="0.25">
      <c r="A25" s="25"/>
      <c r="B25" s="25"/>
      <c r="C25" s="25"/>
      <c r="D25" s="25"/>
      <c r="E25" s="25"/>
      <c r="F25" s="25"/>
      <c r="G25" s="25"/>
      <c r="H25" s="25"/>
      <c r="I25" s="25"/>
      <c r="J25" s="25"/>
      <c r="K25" s="25"/>
      <c r="L25" s="25"/>
      <c r="M25" s="25"/>
      <c r="N25" s="25"/>
      <c r="O25" s="25"/>
      <c r="P25" s="25"/>
      <c r="Q25" s="25"/>
      <c r="R25" s="25"/>
    </row>
    <row r="26" spans="1:35" x14ac:dyDescent="0.25">
      <c r="A26" s="25"/>
      <c r="B26" s="25"/>
      <c r="C26" s="25"/>
      <c r="D26" s="25"/>
      <c r="E26" s="25"/>
      <c r="F26" s="25"/>
      <c r="G26" s="25"/>
      <c r="H26" s="25"/>
      <c r="I26" s="25"/>
      <c r="J26" s="25"/>
      <c r="K26" s="25"/>
      <c r="L26" s="25"/>
      <c r="M26" s="25"/>
      <c r="N26" s="25"/>
      <c r="O26" s="25"/>
      <c r="P26" s="25"/>
      <c r="Q26" s="25"/>
      <c r="R26" s="25"/>
    </row>
    <row r="27" spans="1:35" x14ac:dyDescent="0.25">
      <c r="A27" s="25"/>
      <c r="B27" s="25"/>
      <c r="C27" s="25"/>
      <c r="D27" s="25"/>
      <c r="E27" s="25"/>
      <c r="F27" s="25"/>
      <c r="G27" s="25"/>
      <c r="H27" s="25"/>
      <c r="I27" s="25"/>
      <c r="J27" s="25"/>
      <c r="K27" s="25"/>
      <c r="L27" s="25"/>
      <c r="M27" s="25"/>
      <c r="N27" s="25"/>
      <c r="O27" s="25"/>
      <c r="P27" s="25"/>
      <c r="Q27" s="25"/>
      <c r="R27" s="25"/>
    </row>
    <row r="28" spans="1:35" x14ac:dyDescent="0.25">
      <c r="A28" s="25"/>
      <c r="B28" s="25"/>
      <c r="C28" s="25"/>
      <c r="D28" s="25"/>
      <c r="E28" s="25"/>
      <c r="F28" s="25"/>
      <c r="G28" s="25"/>
      <c r="H28" s="25"/>
      <c r="I28" s="25"/>
      <c r="J28" s="25"/>
      <c r="K28" s="25"/>
      <c r="L28" s="25"/>
      <c r="M28" s="25"/>
      <c r="N28" s="25"/>
      <c r="O28" s="25"/>
      <c r="P28" s="25"/>
      <c r="Q28" s="25"/>
      <c r="R28" s="25"/>
    </row>
    <row r="29" spans="1:35" x14ac:dyDescent="0.25">
      <c r="A29" s="25"/>
      <c r="B29" s="25"/>
      <c r="C29" s="25"/>
      <c r="D29" s="25"/>
      <c r="E29" s="25"/>
      <c r="F29" s="25"/>
      <c r="G29" s="25"/>
      <c r="H29" s="25"/>
      <c r="I29" s="25"/>
      <c r="J29" s="25"/>
      <c r="K29" s="25"/>
      <c r="L29" s="25"/>
      <c r="M29" s="25"/>
      <c r="N29" s="25"/>
      <c r="O29" s="25"/>
      <c r="P29" s="25"/>
      <c r="Q29" s="25"/>
      <c r="R29" s="25"/>
    </row>
    <row r="30" spans="1:35" x14ac:dyDescent="0.25">
      <c r="A30" s="25"/>
      <c r="B30" s="25"/>
      <c r="C30" s="25"/>
      <c r="D30" s="25"/>
      <c r="E30" s="25"/>
      <c r="F30" s="25"/>
      <c r="G30" s="25"/>
      <c r="H30" s="25"/>
      <c r="I30" s="25"/>
      <c r="J30" s="25"/>
      <c r="K30" s="25"/>
      <c r="L30" s="25"/>
      <c r="M30" s="25"/>
      <c r="N30" s="25"/>
      <c r="O30" s="25"/>
      <c r="P30" s="25"/>
      <c r="Q30" s="25"/>
      <c r="R30" s="25"/>
    </row>
    <row r="31" spans="1:35" x14ac:dyDescent="0.25">
      <c r="A31" s="25"/>
      <c r="B31" s="25"/>
      <c r="C31" s="25"/>
      <c r="D31" s="25"/>
      <c r="E31" s="25"/>
      <c r="F31" s="25"/>
      <c r="G31" s="25"/>
      <c r="H31" s="25"/>
      <c r="I31" s="25"/>
      <c r="J31" s="25"/>
      <c r="K31" s="25"/>
      <c r="L31" s="25"/>
      <c r="M31" s="25"/>
      <c r="N31" s="25"/>
      <c r="O31" s="25"/>
      <c r="P31" s="25"/>
      <c r="Q31" s="25"/>
      <c r="R31" s="25"/>
    </row>
    <row r="32" spans="1:35" x14ac:dyDescent="0.25">
      <c r="A32" s="25"/>
      <c r="B32" s="25"/>
      <c r="C32" s="25"/>
      <c r="D32" s="25"/>
      <c r="E32" s="25"/>
      <c r="F32" s="25"/>
      <c r="G32" s="25"/>
      <c r="H32" s="25"/>
      <c r="I32" s="25"/>
      <c r="J32" s="25"/>
      <c r="K32" s="25"/>
      <c r="L32" s="25"/>
      <c r="M32" s="25"/>
      <c r="N32" s="25"/>
      <c r="O32" s="25"/>
      <c r="P32" s="25"/>
      <c r="Q32" s="25"/>
      <c r="R32" s="25"/>
    </row>
    <row r="33" spans="1:18" x14ac:dyDescent="0.25">
      <c r="A33" s="25"/>
      <c r="B33" s="25"/>
      <c r="C33" s="25"/>
      <c r="D33" s="25"/>
      <c r="E33" s="25"/>
      <c r="F33" s="25"/>
      <c r="G33" s="25"/>
      <c r="H33" s="25"/>
      <c r="I33" s="25"/>
      <c r="J33" s="25"/>
      <c r="K33" s="25"/>
      <c r="L33" s="25"/>
      <c r="M33" s="25"/>
      <c r="N33" s="25"/>
      <c r="O33" s="25"/>
      <c r="P33" s="25"/>
      <c r="Q33" s="25"/>
      <c r="R33" s="25"/>
    </row>
    <row r="34" spans="1:18" x14ac:dyDescent="0.25">
      <c r="A34" s="25"/>
      <c r="B34" s="25"/>
      <c r="C34" s="25"/>
      <c r="D34" s="25"/>
      <c r="E34" s="25"/>
      <c r="F34" s="25"/>
      <c r="G34" s="25"/>
      <c r="H34" s="25"/>
      <c r="I34" s="25"/>
      <c r="J34" s="25"/>
      <c r="K34" s="25"/>
      <c r="L34" s="25"/>
      <c r="M34" s="25"/>
      <c r="N34" s="25"/>
      <c r="O34" s="25"/>
      <c r="P34" s="25"/>
      <c r="Q34" s="25"/>
      <c r="R34" s="25"/>
    </row>
    <row r="35" spans="1:18" x14ac:dyDescent="0.25">
      <c r="A35" s="25"/>
      <c r="B35" s="25"/>
      <c r="C35" s="25"/>
      <c r="D35" s="25"/>
      <c r="E35" s="25"/>
      <c r="F35" s="25"/>
      <c r="G35" s="25"/>
      <c r="H35" s="25"/>
      <c r="I35" s="25"/>
      <c r="J35" s="25"/>
      <c r="K35" s="25"/>
      <c r="L35" s="25"/>
      <c r="M35" s="25"/>
      <c r="N35" s="25"/>
      <c r="O35" s="25"/>
      <c r="P35" s="25"/>
      <c r="Q35" s="25"/>
      <c r="R35" s="25"/>
    </row>
    <row r="36" spans="1:18" x14ac:dyDescent="0.25">
      <c r="A36" s="25"/>
      <c r="B36" s="25"/>
      <c r="C36" s="25"/>
      <c r="D36" s="25"/>
      <c r="E36" s="25"/>
      <c r="F36" s="25"/>
      <c r="G36" s="25"/>
      <c r="H36" s="25"/>
      <c r="I36" s="25"/>
      <c r="J36" s="25"/>
      <c r="K36" s="25"/>
      <c r="L36" s="25"/>
      <c r="M36" s="25"/>
      <c r="N36" s="25"/>
      <c r="O36" s="25"/>
      <c r="P36" s="25"/>
      <c r="Q36" s="25"/>
      <c r="R36" s="25"/>
    </row>
    <row r="37" spans="1:18" x14ac:dyDescent="0.25">
      <c r="A37" s="25"/>
      <c r="B37" s="25"/>
      <c r="C37" s="25"/>
      <c r="D37" s="25"/>
      <c r="E37" s="25"/>
      <c r="F37" s="25"/>
      <c r="G37" s="25"/>
      <c r="H37" s="25"/>
      <c r="I37" s="25"/>
      <c r="J37" s="25"/>
      <c r="K37" s="25"/>
      <c r="L37" s="25"/>
      <c r="M37" s="25"/>
      <c r="N37" s="25"/>
      <c r="O37" s="25"/>
      <c r="P37" s="25"/>
      <c r="Q37" s="25"/>
      <c r="R37" s="25"/>
    </row>
    <row r="38" spans="1:18" x14ac:dyDescent="0.25">
      <c r="A38" s="25"/>
      <c r="B38" s="25"/>
      <c r="C38" s="25"/>
      <c r="D38" s="25"/>
      <c r="E38" s="25"/>
      <c r="F38" s="25"/>
      <c r="G38" s="25"/>
      <c r="H38" s="25"/>
      <c r="I38" s="25"/>
      <c r="J38" s="25"/>
      <c r="K38" s="25"/>
      <c r="L38" s="25"/>
      <c r="M38" s="25"/>
      <c r="N38" s="25"/>
      <c r="O38" s="25"/>
      <c r="P38" s="25"/>
      <c r="Q38" s="25"/>
      <c r="R38" s="25"/>
    </row>
    <row r="39" spans="1:18" x14ac:dyDescent="0.25">
      <c r="A39" s="25"/>
      <c r="B39" s="25"/>
      <c r="C39" s="25"/>
      <c r="D39" s="25"/>
      <c r="E39" s="25"/>
      <c r="F39" s="25"/>
      <c r="G39" s="25"/>
      <c r="H39" s="25"/>
      <c r="I39" s="25"/>
      <c r="J39" s="25"/>
      <c r="K39" s="25"/>
      <c r="L39" s="25"/>
      <c r="M39" s="25"/>
      <c r="N39" s="25"/>
      <c r="O39" s="25"/>
      <c r="P39" s="25"/>
      <c r="Q39" s="25"/>
      <c r="R39" s="25"/>
    </row>
    <row r="40" spans="1:18" x14ac:dyDescent="0.25">
      <c r="A40" s="25"/>
      <c r="B40" s="25"/>
      <c r="C40" s="25"/>
      <c r="D40" s="25"/>
      <c r="E40" s="25"/>
      <c r="F40" s="25"/>
      <c r="G40" s="25"/>
      <c r="H40" s="25"/>
      <c r="I40" s="25"/>
      <c r="J40" s="25"/>
      <c r="K40" s="25"/>
      <c r="L40" s="25"/>
      <c r="M40" s="25"/>
      <c r="N40" s="25"/>
      <c r="O40" s="25"/>
      <c r="P40" s="25"/>
      <c r="Q40" s="25"/>
      <c r="R40" s="25"/>
    </row>
    <row r="41" spans="1:18" x14ac:dyDescent="0.25">
      <c r="A41" s="25"/>
      <c r="B41" s="25"/>
      <c r="C41" s="25"/>
      <c r="D41" s="25"/>
      <c r="E41" s="25"/>
      <c r="F41" s="25"/>
      <c r="G41" s="25"/>
      <c r="H41" s="25"/>
      <c r="I41" s="25"/>
      <c r="J41" s="25"/>
      <c r="K41" s="25"/>
      <c r="L41" s="25"/>
      <c r="M41" s="25"/>
      <c r="N41" s="25"/>
      <c r="O41" s="25"/>
      <c r="P41" s="25"/>
      <c r="Q41" s="25"/>
      <c r="R41" s="25"/>
    </row>
    <row r="42" spans="1:18" x14ac:dyDescent="0.25">
      <c r="A42" s="25"/>
      <c r="B42" s="25"/>
      <c r="C42" s="25"/>
      <c r="D42" s="25"/>
      <c r="E42" s="25"/>
      <c r="F42" s="25"/>
      <c r="G42" s="25"/>
      <c r="H42" s="25"/>
      <c r="I42" s="25"/>
      <c r="J42" s="25"/>
      <c r="K42" s="25"/>
      <c r="L42" s="25"/>
      <c r="M42" s="25"/>
      <c r="N42" s="25"/>
      <c r="O42" s="25"/>
      <c r="P42" s="25"/>
      <c r="Q42" s="25"/>
      <c r="R42" s="25"/>
    </row>
  </sheetData>
  <mergeCells count="4">
    <mergeCell ref="B4:C4"/>
    <mergeCell ref="B5:C5"/>
    <mergeCell ref="B6:C6"/>
    <mergeCell ref="B7:C7"/>
  </mergeCells>
  <conditionalFormatting sqref="AD4:AD21">
    <cfRule type="top10" dxfId="25" priority="1" bottom="1" rank="5"/>
    <cfRule type="top10" dxfId="24" priority="2" rank="5"/>
  </conditionalFormatting>
  <dataValidations count="1">
    <dataValidation type="list" allowBlank="1" showInputMessage="1" showErrorMessage="1" sqref="N15" xr:uid="{654288C7-1B9D-437C-A705-7409F075A260}">
      <formula1>$AG$3:$AI$3</formula1>
    </dataValidation>
  </dataValidation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C6731-61B1-4B5A-B11E-C82C921FB1D1}">
  <sheetPr codeName="Sheet5"/>
  <dimension ref="A1:P300"/>
  <sheetViews>
    <sheetView showGridLines="0" showRowColHeaders="0" zoomScale="90" zoomScaleNormal="90" workbookViewId="0">
      <selection activeCell="C5" sqref="C5"/>
    </sheetView>
  </sheetViews>
  <sheetFormatPr defaultRowHeight="12.75" x14ac:dyDescent="0.2"/>
  <cols>
    <col min="1" max="1" width="12.5703125" style="1" bestFit="1" customWidth="1"/>
    <col min="2" max="2" width="10" style="1" bestFit="1" customWidth="1"/>
    <col min="3" max="3" width="11.140625" style="1" bestFit="1" customWidth="1"/>
    <col min="4" max="4" width="12" style="1" bestFit="1" customWidth="1"/>
    <col min="5" max="5" width="7.7109375" style="1" bestFit="1" customWidth="1"/>
    <col min="6" max="6" width="7" style="1" bestFit="1" customWidth="1"/>
    <col min="7" max="7" width="12.42578125" style="1" bestFit="1" customWidth="1"/>
    <col min="8" max="8" width="21.5703125" style="1" bestFit="1" customWidth="1"/>
    <col min="9" max="9" width="10.5703125" style="1" bestFit="1" customWidth="1"/>
    <col min="10" max="10" width="18.42578125" style="1" bestFit="1" customWidth="1"/>
    <col min="11" max="11" width="14.7109375" style="1" bestFit="1" customWidth="1"/>
    <col min="12" max="12" width="11.140625" style="1" bestFit="1" customWidth="1"/>
    <col min="13" max="13" width="7.28515625" style="1" bestFit="1" customWidth="1"/>
    <col min="14" max="14" width="10.28515625" style="1" bestFit="1" customWidth="1"/>
    <col min="15" max="15" width="9.140625" style="1"/>
    <col min="16" max="16384" width="9.140625" style="23"/>
  </cols>
  <sheetData>
    <row r="1" spans="1:16" x14ac:dyDescent="0.2">
      <c r="A1" s="42" t="s">
        <v>115</v>
      </c>
      <c r="B1" s="42"/>
      <c r="C1" s="42"/>
      <c r="D1" s="42"/>
      <c r="E1" s="42"/>
      <c r="F1" s="42"/>
      <c r="G1" s="42"/>
      <c r="H1" s="42" t="s">
        <v>87</v>
      </c>
      <c r="I1" s="42"/>
      <c r="J1" s="42"/>
      <c r="K1" s="42"/>
      <c r="L1" s="42"/>
      <c r="M1" s="42"/>
      <c r="N1" s="42"/>
      <c r="O1" s="42"/>
      <c r="P1" s="42"/>
    </row>
    <row r="3" spans="1:16" ht="15" x14ac:dyDescent="0.25">
      <c r="D3"/>
      <c r="E3" s="6"/>
      <c r="F3" s="6"/>
      <c r="G3" s="6"/>
      <c r="H3" s="27" t="s">
        <v>90</v>
      </c>
      <c r="I3" s="27" t="s">
        <v>103</v>
      </c>
      <c r="J3" s="27" t="s">
        <v>104</v>
      </c>
      <c r="K3" s="27" t="s">
        <v>105</v>
      </c>
      <c r="L3" s="27" t="s">
        <v>106</v>
      </c>
      <c r="N3" s="30">
        <v>0</v>
      </c>
      <c r="O3" s="31" t="s">
        <v>107</v>
      </c>
      <c r="P3" s="32"/>
    </row>
    <row r="4" spans="1:16" ht="15" x14ac:dyDescent="0.25">
      <c r="A4" s="1" t="s">
        <v>82</v>
      </c>
      <c r="B4" s="1" t="s">
        <v>83</v>
      </c>
      <c r="C4" s="1" t="s">
        <v>90</v>
      </c>
      <c r="D4"/>
      <c r="H4" s="26">
        <f>GETPIVOTDATA("  Collection %",$A$4)</f>
        <v>0.49946760408995194</v>
      </c>
      <c r="I4" s="26">
        <v>0.5</v>
      </c>
      <c r="J4" s="26">
        <v>0</v>
      </c>
      <c r="K4" s="26">
        <f>1-I4</f>
        <v>0.5</v>
      </c>
      <c r="L4" s="26">
        <v>1</v>
      </c>
      <c r="M4" s="23"/>
      <c r="N4" s="30">
        <v>0.25</v>
      </c>
      <c r="O4" s="31" t="s">
        <v>108</v>
      </c>
      <c r="P4" s="33"/>
    </row>
    <row r="5" spans="1:16" x14ac:dyDescent="0.2">
      <c r="A5" s="20">
        <v>422878906</v>
      </c>
      <c r="B5" s="20">
        <v>211214314</v>
      </c>
      <c r="C5" s="20">
        <v>0.49946760408995194</v>
      </c>
      <c r="I5" s="1" t="str">
        <f>VLOOKUP(I4,$N$3:$O$6,2,TRUE)</f>
        <v>Good</v>
      </c>
      <c r="N5" s="30">
        <v>0.5</v>
      </c>
      <c r="O5" s="31" t="s">
        <v>109</v>
      </c>
      <c r="P5" s="34"/>
    </row>
    <row r="6" spans="1:16" ht="15" x14ac:dyDescent="0.25">
      <c r="A6"/>
      <c r="B6"/>
      <c r="C6"/>
      <c r="D6"/>
      <c r="I6" s="1" t="str">
        <f>"Service Level "&amp;I5</f>
        <v>Service Level Good</v>
      </c>
      <c r="N6" s="30">
        <v>0.75</v>
      </c>
      <c r="O6" s="31" t="s">
        <v>110</v>
      </c>
      <c r="P6" s="35"/>
    </row>
    <row r="7" spans="1:16" ht="15" x14ac:dyDescent="0.25">
      <c r="A7"/>
      <c r="B7"/>
      <c r="C7"/>
      <c r="D7"/>
    </row>
    <row r="8" spans="1:16" ht="15" x14ac:dyDescent="0.25">
      <c r="A8"/>
      <c r="B8"/>
      <c r="C8"/>
      <c r="D8"/>
    </row>
    <row r="9" spans="1:16" ht="15" x14ac:dyDescent="0.25">
      <c r="A9"/>
      <c r="B9"/>
      <c r="C9"/>
      <c r="D9"/>
    </row>
    <row r="11" spans="1:16" x14ac:dyDescent="0.2">
      <c r="A11" s="42"/>
      <c r="B11" s="42"/>
      <c r="C11" s="42"/>
      <c r="D11" s="42"/>
      <c r="E11" s="42"/>
      <c r="F11" s="42"/>
      <c r="G11" s="42"/>
      <c r="H11" s="42" t="s">
        <v>88</v>
      </c>
      <c r="I11" s="42"/>
      <c r="J11" s="42"/>
      <c r="K11" s="42"/>
      <c r="L11" s="42"/>
      <c r="M11" s="42"/>
      <c r="N11" s="42"/>
      <c r="O11" s="42"/>
      <c r="P11" s="42"/>
    </row>
    <row r="13" spans="1:16" x14ac:dyDescent="0.2">
      <c r="A13" s="6" t="s">
        <v>77</v>
      </c>
      <c r="B13" s="1" t="s">
        <v>82</v>
      </c>
      <c r="C13" s="1" t="s">
        <v>83</v>
      </c>
      <c r="D13" s="1" t="s">
        <v>90</v>
      </c>
      <c r="H13" s="27" t="s">
        <v>46</v>
      </c>
      <c r="I13" s="27" t="s">
        <v>91</v>
      </c>
      <c r="J13" s="27" t="s">
        <v>92</v>
      </c>
      <c r="K13" s="27" t="s">
        <v>93</v>
      </c>
      <c r="L13" s="27" t="s">
        <v>94</v>
      </c>
      <c r="M13" s="27" t="s">
        <v>95</v>
      </c>
      <c r="N13" s="27" t="s">
        <v>96</v>
      </c>
    </row>
    <row r="14" spans="1:16" x14ac:dyDescent="0.2">
      <c r="A14" s="7" t="s">
        <v>52</v>
      </c>
      <c r="B14" s="20">
        <v>173916323</v>
      </c>
      <c r="C14" s="20">
        <v>117677064</v>
      </c>
      <c r="D14" s="20">
        <v>0.67663035861217002</v>
      </c>
      <c r="H14" s="7" t="str">
        <f t="shared" ref="H14:H17" si="0">A14</f>
        <v>Basundhara</v>
      </c>
      <c r="I14" s="21">
        <f t="shared" ref="I14:I17" si="1">GETPIVOTDATA("  Collection %",$A$13,"Location",H14)</f>
        <v>0.67663035861217002</v>
      </c>
      <c r="J14" s="22">
        <v>0.68</v>
      </c>
      <c r="K14" s="22">
        <f>1-J14</f>
        <v>0.31999999999999995</v>
      </c>
      <c r="L14" s="24">
        <v>0.3</v>
      </c>
      <c r="M14" s="22">
        <v>0.1</v>
      </c>
      <c r="N14" s="22">
        <v>0.1</v>
      </c>
    </row>
    <row r="15" spans="1:16" x14ac:dyDescent="0.2">
      <c r="A15" s="7" t="s">
        <v>68</v>
      </c>
      <c r="B15" s="20">
        <v>119586452</v>
      </c>
      <c r="C15" s="20">
        <v>50611466</v>
      </c>
      <c r="D15" s="20">
        <v>0.42322073406776883</v>
      </c>
      <c r="H15" s="7" t="str">
        <f t="shared" si="0"/>
        <v>Gulshan</v>
      </c>
      <c r="I15" s="21">
        <f t="shared" si="1"/>
        <v>0.42322073406776883</v>
      </c>
      <c r="J15" s="22">
        <v>0.42</v>
      </c>
      <c r="K15" s="22">
        <f t="shared" ref="K15:K17" si="2">1-J15</f>
        <v>0.58000000000000007</v>
      </c>
      <c r="L15" s="24">
        <v>0.3</v>
      </c>
      <c r="M15" s="22">
        <v>0.1</v>
      </c>
      <c r="N15" s="22">
        <v>0.1</v>
      </c>
    </row>
    <row r="16" spans="1:16" x14ac:dyDescent="0.2">
      <c r="A16" s="7" t="s">
        <v>72</v>
      </c>
      <c r="B16" s="20">
        <v>25255699</v>
      </c>
      <c r="C16" s="20">
        <v>8720291</v>
      </c>
      <c r="D16" s="20">
        <v>0.34528012865531854</v>
      </c>
      <c r="H16" s="7" t="str">
        <f t="shared" si="0"/>
        <v>Mirpur</v>
      </c>
      <c r="I16" s="21">
        <f t="shared" si="1"/>
        <v>0.34528012865531854</v>
      </c>
      <c r="J16" s="22">
        <v>0.35</v>
      </c>
      <c r="K16" s="22">
        <f t="shared" si="2"/>
        <v>0.65</v>
      </c>
      <c r="L16" s="24">
        <v>0.3</v>
      </c>
      <c r="M16" s="22">
        <v>0.1</v>
      </c>
      <c r="N16" s="22">
        <v>0.1</v>
      </c>
    </row>
    <row r="17" spans="1:16" x14ac:dyDescent="0.2">
      <c r="A17" s="7" t="s">
        <v>73</v>
      </c>
      <c r="B17" s="20">
        <v>104120432</v>
      </c>
      <c r="C17" s="20">
        <v>34205493</v>
      </c>
      <c r="D17" s="20">
        <v>0.32851854667679442</v>
      </c>
      <c r="H17" s="7" t="str">
        <f t="shared" si="0"/>
        <v>Uttara</v>
      </c>
      <c r="I17" s="21">
        <f t="shared" si="1"/>
        <v>0.32851854667679442</v>
      </c>
      <c r="J17" s="22">
        <v>0.33</v>
      </c>
      <c r="K17" s="22">
        <f t="shared" si="2"/>
        <v>0.66999999999999993</v>
      </c>
      <c r="L17" s="24">
        <v>0.3</v>
      </c>
      <c r="M17" s="22">
        <v>0.1</v>
      </c>
      <c r="N17" s="22">
        <v>0.1</v>
      </c>
    </row>
    <row r="18" spans="1:16" x14ac:dyDescent="0.2">
      <c r="A18" s="7" t="s">
        <v>78</v>
      </c>
      <c r="B18" s="20">
        <v>422878906</v>
      </c>
      <c r="C18" s="20">
        <v>211214314</v>
      </c>
      <c r="D18" s="20">
        <v>0.49946760408995194</v>
      </c>
    </row>
    <row r="21" spans="1:16" x14ac:dyDescent="0.2">
      <c r="A21" s="42"/>
      <c r="B21" s="42"/>
      <c r="C21" s="42"/>
      <c r="D21" s="42"/>
      <c r="E21" s="42"/>
      <c r="F21" s="42"/>
      <c r="G21" s="42"/>
      <c r="H21" s="42" t="s">
        <v>89</v>
      </c>
      <c r="I21" s="42"/>
      <c r="J21" s="42"/>
      <c r="K21" s="42"/>
      <c r="L21" s="42"/>
      <c r="M21" s="42"/>
      <c r="N21" s="42"/>
      <c r="O21" s="42"/>
      <c r="P21" s="42"/>
    </row>
    <row r="23" spans="1:16" ht="15" x14ac:dyDescent="0.25">
      <c r="A23" s="6" t="s">
        <v>77</v>
      </c>
      <c r="B23" s="1" t="s">
        <v>97</v>
      </c>
      <c r="C23"/>
      <c r="D23" s="27" t="s">
        <v>46</v>
      </c>
      <c r="E23" s="27" t="s">
        <v>48</v>
      </c>
      <c r="F23" s="27" t="s">
        <v>98</v>
      </c>
      <c r="G23" s="27" t="s">
        <v>99</v>
      </c>
      <c r="H23" s="27" t="s">
        <v>100</v>
      </c>
      <c r="I23" s="27" t="s">
        <v>101</v>
      </c>
      <c r="J23" s="27" t="s">
        <v>102</v>
      </c>
      <c r="L23" s="6"/>
      <c r="M23" s="6"/>
      <c r="N23" s="6"/>
      <c r="O23" s="6"/>
    </row>
    <row r="24" spans="1:16" ht="15" x14ac:dyDescent="0.25">
      <c r="A24" s="7" t="s">
        <v>52</v>
      </c>
      <c r="B24" s="20">
        <v>368472</v>
      </c>
      <c r="C24"/>
      <c r="D24" t="str">
        <f t="shared" ref="D24:E27" si="3">A24</f>
        <v>Basundhara</v>
      </c>
      <c r="E24">
        <f t="shared" si="3"/>
        <v>368472</v>
      </c>
      <c r="F24" s="1">
        <f t="shared" ref="F24:F27" si="4">MAX($E$24:$E$27)</f>
        <v>368472</v>
      </c>
      <c r="G24" s="21">
        <f t="shared" ref="G24:G27" si="5">E24/F24</f>
        <v>1</v>
      </c>
      <c r="H24" s="22">
        <v>1</v>
      </c>
      <c r="I24" s="22">
        <v>0.2</v>
      </c>
      <c r="J24" s="1">
        <f t="shared" ref="J24:J27" si="6">F24*H24</f>
        <v>368472</v>
      </c>
    </row>
    <row r="25" spans="1:16" ht="15" x14ac:dyDescent="0.25">
      <c r="A25" s="7" t="s">
        <v>68</v>
      </c>
      <c r="B25" s="20">
        <v>252801</v>
      </c>
      <c r="C25"/>
      <c r="D25" t="str">
        <f t="shared" si="3"/>
        <v>Gulshan</v>
      </c>
      <c r="E25">
        <f t="shared" si="3"/>
        <v>252801</v>
      </c>
      <c r="F25" s="1">
        <f t="shared" si="4"/>
        <v>368472</v>
      </c>
      <c r="G25" s="21">
        <f t="shared" si="5"/>
        <v>0.68607926789552531</v>
      </c>
      <c r="H25" s="22">
        <v>0.31</v>
      </c>
      <c r="I25" s="22">
        <v>0.2</v>
      </c>
      <c r="J25" s="1">
        <f t="shared" si="6"/>
        <v>114226.31999999999</v>
      </c>
    </row>
    <row r="26" spans="1:16" ht="15" x14ac:dyDescent="0.25">
      <c r="A26" s="7" t="s">
        <v>72</v>
      </c>
      <c r="B26" s="20">
        <v>58092</v>
      </c>
      <c r="C26"/>
      <c r="D26" t="str">
        <f t="shared" si="3"/>
        <v>Mirpur</v>
      </c>
      <c r="E26">
        <f t="shared" si="3"/>
        <v>58092</v>
      </c>
      <c r="F26" s="1">
        <f t="shared" si="4"/>
        <v>368472</v>
      </c>
      <c r="G26" s="21">
        <f t="shared" si="5"/>
        <v>0.15765648407477367</v>
      </c>
      <c r="H26" s="22">
        <v>0.12</v>
      </c>
      <c r="I26" s="22">
        <v>0.2</v>
      </c>
      <c r="J26" s="1">
        <f t="shared" si="6"/>
        <v>44216.639999999999</v>
      </c>
    </row>
    <row r="27" spans="1:16" ht="15" x14ac:dyDescent="0.25">
      <c r="A27" s="7" t="s">
        <v>73</v>
      </c>
      <c r="B27" s="20">
        <v>226389</v>
      </c>
      <c r="C27"/>
      <c r="D27" t="str">
        <f t="shared" si="3"/>
        <v>Uttara</v>
      </c>
      <c r="E27">
        <f t="shared" si="3"/>
        <v>226389</v>
      </c>
      <c r="F27" s="1">
        <f t="shared" si="4"/>
        <v>368472</v>
      </c>
      <c r="G27" s="21">
        <f t="shared" si="5"/>
        <v>0.61439946590242944</v>
      </c>
      <c r="H27" s="22">
        <v>0.43</v>
      </c>
      <c r="I27" s="22">
        <v>0.2</v>
      </c>
      <c r="J27" s="1">
        <f t="shared" si="6"/>
        <v>158442.96</v>
      </c>
    </row>
    <row r="28" spans="1:16" ht="15" x14ac:dyDescent="0.25">
      <c r="A28" s="7" t="s">
        <v>78</v>
      </c>
      <c r="B28" s="20">
        <v>905754</v>
      </c>
      <c r="C28"/>
      <c r="D28"/>
    </row>
    <row r="29" spans="1:16" ht="15" x14ac:dyDescent="0.25">
      <c r="A29"/>
    </row>
    <row r="30" spans="1:16" ht="15" x14ac:dyDescent="0.25">
      <c r="A30"/>
    </row>
    <row r="31" spans="1:16" x14ac:dyDescent="0.2">
      <c r="A31" s="42"/>
      <c r="B31" s="42"/>
      <c r="C31" s="42"/>
      <c r="D31" s="42"/>
      <c r="E31" s="42"/>
      <c r="F31" s="42"/>
      <c r="G31" s="42"/>
      <c r="H31" s="42"/>
      <c r="I31" s="42"/>
      <c r="J31" s="42"/>
      <c r="K31" s="42"/>
      <c r="L31" s="42"/>
      <c r="M31" s="42"/>
      <c r="N31" s="42"/>
      <c r="O31" s="42"/>
      <c r="P31" s="42"/>
    </row>
    <row r="32" spans="1:16" ht="15" x14ac:dyDescent="0.25">
      <c r="A32"/>
    </row>
    <row r="33" spans="1:13" ht="15" x14ac:dyDescent="0.25">
      <c r="A33"/>
    </row>
    <row r="34" spans="1:13" ht="15" x14ac:dyDescent="0.25">
      <c r="A34"/>
      <c r="I34" s="28"/>
      <c r="J34" s="28"/>
      <c r="K34" s="28"/>
      <c r="L34" s="28"/>
      <c r="M34" s="28"/>
    </row>
    <row r="35" spans="1:13" ht="15" x14ac:dyDescent="0.25">
      <c r="A35"/>
      <c r="I35" s="28"/>
      <c r="J35" s="28"/>
      <c r="K35" s="28"/>
      <c r="L35" s="28"/>
      <c r="M35" s="28"/>
    </row>
    <row r="36" spans="1:13" ht="15" x14ac:dyDescent="0.25">
      <c r="A36"/>
      <c r="I36" s="28"/>
      <c r="J36" s="28"/>
      <c r="K36" s="28"/>
      <c r="L36" s="28"/>
      <c r="M36" s="28"/>
    </row>
    <row r="37" spans="1:13" ht="15" x14ac:dyDescent="0.25">
      <c r="A37"/>
      <c r="I37" s="28"/>
      <c r="J37" s="28"/>
      <c r="K37" s="28"/>
      <c r="L37" s="28"/>
      <c r="M37" s="28"/>
    </row>
    <row r="38" spans="1:13" ht="15" x14ac:dyDescent="0.25">
      <c r="A38"/>
      <c r="I38" s="28"/>
      <c r="J38" s="28"/>
      <c r="K38" s="28"/>
      <c r="L38" s="28"/>
      <c r="M38" s="28"/>
    </row>
    <row r="39" spans="1:13" ht="15" x14ac:dyDescent="0.25">
      <c r="A39"/>
      <c r="I39" s="28"/>
      <c r="J39" s="28"/>
      <c r="K39" s="28"/>
      <c r="L39" s="28"/>
      <c r="M39" s="28"/>
    </row>
    <row r="40" spans="1:13" ht="15" x14ac:dyDescent="0.25">
      <c r="A40"/>
      <c r="I40" s="28"/>
      <c r="J40" s="28"/>
      <c r="K40" s="28"/>
      <c r="L40" s="28"/>
      <c r="M40" s="28"/>
    </row>
    <row r="41" spans="1:13" ht="15" x14ac:dyDescent="0.25">
      <c r="A41"/>
      <c r="I41" s="28"/>
      <c r="J41" s="28"/>
      <c r="K41" s="28"/>
      <c r="L41" s="28"/>
      <c r="M41" s="28"/>
    </row>
    <row r="42" spans="1:13" ht="15" x14ac:dyDescent="0.25">
      <c r="A42"/>
      <c r="I42" s="28"/>
      <c r="J42" s="28"/>
      <c r="K42" s="28"/>
      <c r="L42" s="28"/>
      <c r="M42" s="28"/>
    </row>
    <row r="43" spans="1:13" ht="15" x14ac:dyDescent="0.25">
      <c r="A43"/>
      <c r="I43" s="28"/>
      <c r="J43" s="28"/>
      <c r="K43" s="28"/>
      <c r="L43" s="28"/>
      <c r="M43" s="28"/>
    </row>
    <row r="44" spans="1:13" ht="15" x14ac:dyDescent="0.25">
      <c r="A44"/>
      <c r="I44" s="28"/>
      <c r="J44" s="28"/>
      <c r="K44" s="28"/>
      <c r="L44" s="28"/>
      <c r="M44" s="28"/>
    </row>
    <row r="45" spans="1:13" ht="15" x14ac:dyDescent="0.25">
      <c r="A45"/>
      <c r="I45" s="28"/>
      <c r="J45" s="28"/>
      <c r="K45" s="28"/>
      <c r="L45" s="28"/>
      <c r="M45" s="28"/>
    </row>
    <row r="46" spans="1:13" ht="15" x14ac:dyDescent="0.25">
      <c r="A46"/>
      <c r="I46" s="28"/>
      <c r="J46" s="28"/>
      <c r="K46" s="28"/>
      <c r="L46" s="28"/>
      <c r="M46" s="28"/>
    </row>
    <row r="47" spans="1:13" ht="15" x14ac:dyDescent="0.25">
      <c r="A47"/>
      <c r="I47" s="28"/>
      <c r="J47" s="28"/>
      <c r="K47" s="28"/>
      <c r="L47" s="28"/>
      <c r="M47" s="28"/>
    </row>
    <row r="48" spans="1:13" ht="15" x14ac:dyDescent="0.25">
      <c r="A48"/>
      <c r="I48" s="28"/>
      <c r="J48" s="28"/>
      <c r="K48" s="28"/>
      <c r="L48" s="28"/>
      <c r="M48" s="28"/>
    </row>
    <row r="49" spans="1:13" ht="15" x14ac:dyDescent="0.25">
      <c r="A49"/>
      <c r="I49" s="28"/>
      <c r="J49" s="28"/>
      <c r="K49" s="28"/>
      <c r="L49" s="28"/>
      <c r="M49" s="28"/>
    </row>
    <row r="50" spans="1:13" ht="15" x14ac:dyDescent="0.25">
      <c r="A50"/>
      <c r="I50" s="28"/>
      <c r="J50" s="28"/>
      <c r="K50" s="28"/>
      <c r="L50" s="28"/>
      <c r="M50" s="28"/>
    </row>
    <row r="51" spans="1:13" ht="15" x14ac:dyDescent="0.25">
      <c r="A51"/>
      <c r="I51" s="28"/>
      <c r="J51" s="28"/>
      <c r="K51" s="28"/>
      <c r="L51" s="28"/>
      <c r="M51" s="28"/>
    </row>
    <row r="52" spans="1:13" ht="15" x14ac:dyDescent="0.25">
      <c r="A52"/>
    </row>
    <row r="53" spans="1:13" ht="15" x14ac:dyDescent="0.25">
      <c r="A53"/>
    </row>
    <row r="54" spans="1:13" ht="15" x14ac:dyDescent="0.25">
      <c r="A54"/>
    </row>
    <row r="55" spans="1:13" ht="15" x14ac:dyDescent="0.25">
      <c r="A55"/>
    </row>
    <row r="56" spans="1:13" ht="15" x14ac:dyDescent="0.25">
      <c r="A56"/>
    </row>
    <row r="57" spans="1:13" ht="15" x14ac:dyDescent="0.25">
      <c r="A57"/>
    </row>
    <row r="58" spans="1:13" ht="15" x14ac:dyDescent="0.25">
      <c r="A58"/>
    </row>
    <row r="59" spans="1:13" ht="15" x14ac:dyDescent="0.25">
      <c r="A59"/>
    </row>
    <row r="60" spans="1:13" ht="15" x14ac:dyDescent="0.25">
      <c r="A60"/>
    </row>
    <row r="61" spans="1:13" ht="15" x14ac:dyDescent="0.25">
      <c r="A61"/>
    </row>
    <row r="62" spans="1:13" ht="15" x14ac:dyDescent="0.25">
      <c r="A62"/>
    </row>
    <row r="63" spans="1:13" ht="15" x14ac:dyDescent="0.25">
      <c r="A63"/>
    </row>
    <row r="64" spans="1:13" ht="15" x14ac:dyDescent="0.25">
      <c r="A64"/>
    </row>
    <row r="65" spans="1:1" ht="15" x14ac:dyDescent="0.25">
      <c r="A65"/>
    </row>
    <row r="66" spans="1:1" ht="15" x14ac:dyDescent="0.25">
      <c r="A66"/>
    </row>
    <row r="67" spans="1:1" ht="15" x14ac:dyDescent="0.25">
      <c r="A67"/>
    </row>
    <row r="68" spans="1:1" ht="15" x14ac:dyDescent="0.25">
      <c r="A68"/>
    </row>
    <row r="69" spans="1:1" ht="15" x14ac:dyDescent="0.25">
      <c r="A69"/>
    </row>
    <row r="70" spans="1:1" ht="15" x14ac:dyDescent="0.25">
      <c r="A70"/>
    </row>
    <row r="71" spans="1:1" ht="15" x14ac:dyDescent="0.25">
      <c r="A71"/>
    </row>
    <row r="72" spans="1:1" ht="15" x14ac:dyDescent="0.25">
      <c r="A72"/>
    </row>
    <row r="73" spans="1:1" ht="15" x14ac:dyDescent="0.25">
      <c r="A73"/>
    </row>
    <row r="74" spans="1:1" ht="15" x14ac:dyDescent="0.25">
      <c r="A74"/>
    </row>
    <row r="75" spans="1:1" ht="15" x14ac:dyDescent="0.25">
      <c r="A75"/>
    </row>
    <row r="76" spans="1:1" ht="15" x14ac:dyDescent="0.25">
      <c r="A76"/>
    </row>
    <row r="77" spans="1:1" ht="15" x14ac:dyDescent="0.25">
      <c r="A77"/>
    </row>
    <row r="78" spans="1:1" ht="15" x14ac:dyDescent="0.25">
      <c r="A78"/>
    </row>
    <row r="79" spans="1:1" ht="15" x14ac:dyDescent="0.25">
      <c r="A79"/>
    </row>
    <row r="80" spans="1:1" ht="15" x14ac:dyDescent="0.25">
      <c r="A80"/>
    </row>
    <row r="81" spans="1:1" ht="15" x14ac:dyDescent="0.25">
      <c r="A81"/>
    </row>
    <row r="82" spans="1:1" ht="15" x14ac:dyDescent="0.25">
      <c r="A82"/>
    </row>
    <row r="83" spans="1:1" ht="15" x14ac:dyDescent="0.25">
      <c r="A83"/>
    </row>
    <row r="84" spans="1:1" ht="15" x14ac:dyDescent="0.25">
      <c r="A84"/>
    </row>
    <row r="85" spans="1:1" ht="15" x14ac:dyDescent="0.25">
      <c r="A85"/>
    </row>
    <row r="86" spans="1:1" ht="15" x14ac:dyDescent="0.25">
      <c r="A86"/>
    </row>
    <row r="87" spans="1:1" ht="15" x14ac:dyDescent="0.25">
      <c r="A87"/>
    </row>
    <row r="88" spans="1:1" ht="15" x14ac:dyDescent="0.25">
      <c r="A88"/>
    </row>
    <row r="89" spans="1:1" ht="15" x14ac:dyDescent="0.25">
      <c r="A89"/>
    </row>
    <row r="90" spans="1:1" ht="15" x14ac:dyDescent="0.25">
      <c r="A90"/>
    </row>
    <row r="91" spans="1:1" ht="15" x14ac:dyDescent="0.25">
      <c r="A91"/>
    </row>
    <row r="92" spans="1:1" ht="15" x14ac:dyDescent="0.25">
      <c r="A92"/>
    </row>
    <row r="93" spans="1:1" ht="15" x14ac:dyDescent="0.25">
      <c r="A93"/>
    </row>
    <row r="94" spans="1:1" ht="15" x14ac:dyDescent="0.25">
      <c r="A94"/>
    </row>
    <row r="95" spans="1:1" ht="15" x14ac:dyDescent="0.25">
      <c r="A95"/>
    </row>
    <row r="96" spans="1:1" ht="15" x14ac:dyDescent="0.25">
      <c r="A96"/>
    </row>
    <row r="97" spans="1:1" ht="15" x14ac:dyDescent="0.25">
      <c r="A97"/>
    </row>
    <row r="98" spans="1:1" ht="15" x14ac:dyDescent="0.25">
      <c r="A98"/>
    </row>
    <row r="99" spans="1:1" ht="15" x14ac:dyDescent="0.25">
      <c r="A99"/>
    </row>
    <row r="100" spans="1:1" ht="15" x14ac:dyDescent="0.25">
      <c r="A100"/>
    </row>
    <row r="101" spans="1:1" ht="15" x14ac:dyDescent="0.25">
      <c r="A101"/>
    </row>
    <row r="102" spans="1:1" ht="15" x14ac:dyDescent="0.25">
      <c r="A102"/>
    </row>
    <row r="103" spans="1:1" ht="15" x14ac:dyDescent="0.25">
      <c r="A103"/>
    </row>
    <row r="104" spans="1:1" ht="15" x14ac:dyDescent="0.25">
      <c r="A104"/>
    </row>
    <row r="105" spans="1:1" ht="15" x14ac:dyDescent="0.25">
      <c r="A105"/>
    </row>
    <row r="106" spans="1:1" ht="15" x14ac:dyDescent="0.25">
      <c r="A106"/>
    </row>
    <row r="107" spans="1:1" ht="15" x14ac:dyDescent="0.25">
      <c r="A107"/>
    </row>
    <row r="108" spans="1:1" ht="15" x14ac:dyDescent="0.25">
      <c r="A108"/>
    </row>
    <row r="109" spans="1:1" ht="15" x14ac:dyDescent="0.25">
      <c r="A109"/>
    </row>
    <row r="110" spans="1:1" ht="15" x14ac:dyDescent="0.25">
      <c r="A110"/>
    </row>
    <row r="111" spans="1:1" ht="15" x14ac:dyDescent="0.25">
      <c r="A111"/>
    </row>
    <row r="112" spans="1:1" ht="15" x14ac:dyDescent="0.25">
      <c r="A112"/>
    </row>
    <row r="113" spans="1:1" ht="15" x14ac:dyDescent="0.25">
      <c r="A113"/>
    </row>
    <row r="114" spans="1:1" ht="15" x14ac:dyDescent="0.25">
      <c r="A114"/>
    </row>
    <row r="115" spans="1:1" ht="15" x14ac:dyDescent="0.25">
      <c r="A115"/>
    </row>
    <row r="116" spans="1:1" ht="15" x14ac:dyDescent="0.25">
      <c r="A116"/>
    </row>
    <row r="117" spans="1:1" ht="15" x14ac:dyDescent="0.25">
      <c r="A117"/>
    </row>
    <row r="118" spans="1:1" ht="15" x14ac:dyDescent="0.25">
      <c r="A118"/>
    </row>
    <row r="119" spans="1:1" ht="15" x14ac:dyDescent="0.25">
      <c r="A119"/>
    </row>
    <row r="120" spans="1:1" ht="15" x14ac:dyDescent="0.25">
      <c r="A120"/>
    </row>
    <row r="121" spans="1:1" ht="15" x14ac:dyDescent="0.25">
      <c r="A121"/>
    </row>
    <row r="122" spans="1:1" ht="15" x14ac:dyDescent="0.25">
      <c r="A122"/>
    </row>
    <row r="123" spans="1:1" ht="15" x14ac:dyDescent="0.25">
      <c r="A123"/>
    </row>
    <row r="124" spans="1:1" ht="15" x14ac:dyDescent="0.25">
      <c r="A124"/>
    </row>
    <row r="125" spans="1:1" ht="15" x14ac:dyDescent="0.25">
      <c r="A125"/>
    </row>
    <row r="126" spans="1:1" ht="15" x14ac:dyDescent="0.25">
      <c r="A126"/>
    </row>
    <row r="127" spans="1:1" ht="15" x14ac:dyDescent="0.25">
      <c r="A127"/>
    </row>
    <row r="128" spans="1:1" ht="15" x14ac:dyDescent="0.25">
      <c r="A128"/>
    </row>
    <row r="129" spans="1:1" ht="15" x14ac:dyDescent="0.25">
      <c r="A129"/>
    </row>
    <row r="130" spans="1:1" ht="15" x14ac:dyDescent="0.25">
      <c r="A130"/>
    </row>
    <row r="131" spans="1:1" ht="15" x14ac:dyDescent="0.25">
      <c r="A131"/>
    </row>
    <row r="132" spans="1:1" ht="15" x14ac:dyDescent="0.25">
      <c r="A132"/>
    </row>
    <row r="133" spans="1:1" ht="15" x14ac:dyDescent="0.25">
      <c r="A133"/>
    </row>
    <row r="134" spans="1:1" ht="15" x14ac:dyDescent="0.25">
      <c r="A134"/>
    </row>
    <row r="135" spans="1:1" ht="15" x14ac:dyDescent="0.25">
      <c r="A135"/>
    </row>
    <row r="136" spans="1:1" ht="15" x14ac:dyDescent="0.25">
      <c r="A136"/>
    </row>
    <row r="137" spans="1:1" ht="15" x14ac:dyDescent="0.25">
      <c r="A137"/>
    </row>
    <row r="138" spans="1:1" ht="15" x14ac:dyDescent="0.25">
      <c r="A138"/>
    </row>
    <row r="139" spans="1:1" ht="15" x14ac:dyDescent="0.25">
      <c r="A139"/>
    </row>
    <row r="140" spans="1:1" ht="15" x14ac:dyDescent="0.25">
      <c r="A140"/>
    </row>
    <row r="141" spans="1:1" ht="15" x14ac:dyDescent="0.25">
      <c r="A141"/>
    </row>
    <row r="142" spans="1:1" ht="15" x14ac:dyDescent="0.25">
      <c r="A142"/>
    </row>
    <row r="143" spans="1:1" ht="15" x14ac:dyDescent="0.25">
      <c r="A143"/>
    </row>
    <row r="144" spans="1:1" ht="15" x14ac:dyDescent="0.25">
      <c r="A144"/>
    </row>
    <row r="145" spans="1:1" ht="15" x14ac:dyDescent="0.25">
      <c r="A145"/>
    </row>
    <row r="146" spans="1:1" ht="15" x14ac:dyDescent="0.25">
      <c r="A146"/>
    </row>
    <row r="147" spans="1:1" ht="15" x14ac:dyDescent="0.25">
      <c r="A147"/>
    </row>
    <row r="148" spans="1:1" ht="15" x14ac:dyDescent="0.25">
      <c r="A148"/>
    </row>
    <row r="149" spans="1:1" ht="15" x14ac:dyDescent="0.25">
      <c r="A149"/>
    </row>
    <row r="150" spans="1:1" ht="15" x14ac:dyDescent="0.25">
      <c r="A150"/>
    </row>
    <row r="151" spans="1:1" ht="15" x14ac:dyDescent="0.25">
      <c r="A151"/>
    </row>
    <row r="152" spans="1:1" ht="15" x14ac:dyDescent="0.25">
      <c r="A152"/>
    </row>
    <row r="153" spans="1:1" ht="15" x14ac:dyDescent="0.25">
      <c r="A153"/>
    </row>
    <row r="154" spans="1:1" ht="15" x14ac:dyDescent="0.25">
      <c r="A154"/>
    </row>
    <row r="155" spans="1:1" ht="15" x14ac:dyDescent="0.25">
      <c r="A155"/>
    </row>
    <row r="156" spans="1:1" ht="15" x14ac:dyDescent="0.25">
      <c r="A156"/>
    </row>
    <row r="157" spans="1:1" ht="15" x14ac:dyDescent="0.25">
      <c r="A157"/>
    </row>
    <row r="158" spans="1:1" ht="15" x14ac:dyDescent="0.25">
      <c r="A158"/>
    </row>
    <row r="159" spans="1:1" ht="15" x14ac:dyDescent="0.25">
      <c r="A159"/>
    </row>
    <row r="160" spans="1:1" ht="15" x14ac:dyDescent="0.25">
      <c r="A160"/>
    </row>
    <row r="161" spans="1:1" ht="15" x14ac:dyDescent="0.25">
      <c r="A161"/>
    </row>
    <row r="162" spans="1:1" ht="15" x14ac:dyDescent="0.25">
      <c r="A162"/>
    </row>
    <row r="163" spans="1:1" ht="15" x14ac:dyDescent="0.25">
      <c r="A163"/>
    </row>
    <row r="164" spans="1:1" ht="15" x14ac:dyDescent="0.25">
      <c r="A164"/>
    </row>
    <row r="165" spans="1:1" ht="15" x14ac:dyDescent="0.25">
      <c r="A165"/>
    </row>
    <row r="166" spans="1:1" ht="15" x14ac:dyDescent="0.25">
      <c r="A166"/>
    </row>
    <row r="167" spans="1:1" ht="15" x14ac:dyDescent="0.25">
      <c r="A167"/>
    </row>
    <row r="168" spans="1:1" ht="15" x14ac:dyDescent="0.25">
      <c r="A168"/>
    </row>
    <row r="169" spans="1:1" ht="15" x14ac:dyDescent="0.25">
      <c r="A169"/>
    </row>
    <row r="170" spans="1:1" ht="15" x14ac:dyDescent="0.25">
      <c r="A170"/>
    </row>
    <row r="171" spans="1:1" ht="15" x14ac:dyDescent="0.25">
      <c r="A171"/>
    </row>
    <row r="172" spans="1:1" ht="15" x14ac:dyDescent="0.25">
      <c r="A172"/>
    </row>
    <row r="173" spans="1:1" ht="15" x14ac:dyDescent="0.25">
      <c r="A173"/>
    </row>
    <row r="174" spans="1:1" ht="15" x14ac:dyDescent="0.25">
      <c r="A174"/>
    </row>
    <row r="175" spans="1:1" ht="15" x14ac:dyDescent="0.25">
      <c r="A175"/>
    </row>
    <row r="176" spans="1:1" ht="15" x14ac:dyDescent="0.25">
      <c r="A176"/>
    </row>
    <row r="177" spans="1:1" ht="15" x14ac:dyDescent="0.25">
      <c r="A177"/>
    </row>
    <row r="178" spans="1:1" ht="15" x14ac:dyDescent="0.25">
      <c r="A178"/>
    </row>
    <row r="179" spans="1:1" ht="15" x14ac:dyDescent="0.25">
      <c r="A179"/>
    </row>
    <row r="180" spans="1:1" ht="15" x14ac:dyDescent="0.25">
      <c r="A180"/>
    </row>
    <row r="181" spans="1:1" ht="15" x14ac:dyDescent="0.25">
      <c r="A181"/>
    </row>
    <row r="182" spans="1:1" ht="15" x14ac:dyDescent="0.25">
      <c r="A182"/>
    </row>
    <row r="183" spans="1:1" ht="15" x14ac:dyDescent="0.25">
      <c r="A183"/>
    </row>
    <row r="184" spans="1:1" ht="15" x14ac:dyDescent="0.25">
      <c r="A184"/>
    </row>
    <row r="185" spans="1:1" ht="15" x14ac:dyDescent="0.25">
      <c r="A185"/>
    </row>
    <row r="186" spans="1:1" ht="15" x14ac:dyDescent="0.25">
      <c r="A186"/>
    </row>
    <row r="187" spans="1:1" ht="15" x14ac:dyDescent="0.25">
      <c r="A187"/>
    </row>
    <row r="188" spans="1:1" ht="15" x14ac:dyDescent="0.25">
      <c r="A188"/>
    </row>
    <row r="189" spans="1:1" ht="15" x14ac:dyDescent="0.25">
      <c r="A189"/>
    </row>
    <row r="190" spans="1:1" ht="15" x14ac:dyDescent="0.25">
      <c r="A190"/>
    </row>
    <row r="191" spans="1:1" ht="15" x14ac:dyDescent="0.25">
      <c r="A191"/>
    </row>
    <row r="192" spans="1:1" ht="15" x14ac:dyDescent="0.25">
      <c r="A192"/>
    </row>
    <row r="193" spans="1:1" ht="15" x14ac:dyDescent="0.25">
      <c r="A193"/>
    </row>
    <row r="194" spans="1:1" ht="15" x14ac:dyDescent="0.25">
      <c r="A194"/>
    </row>
    <row r="195" spans="1:1" ht="15" x14ac:dyDescent="0.25">
      <c r="A195"/>
    </row>
    <row r="196" spans="1:1" ht="15" x14ac:dyDescent="0.25">
      <c r="A196"/>
    </row>
    <row r="197" spans="1:1" ht="15" x14ac:dyDescent="0.25">
      <c r="A197"/>
    </row>
    <row r="198" spans="1:1" ht="15" x14ac:dyDescent="0.25">
      <c r="A198"/>
    </row>
    <row r="199" spans="1:1" ht="15" x14ac:dyDescent="0.25">
      <c r="A199"/>
    </row>
    <row r="200" spans="1:1" ht="15" x14ac:dyDescent="0.25">
      <c r="A200"/>
    </row>
    <row r="201" spans="1:1" ht="15" x14ac:dyDescent="0.25">
      <c r="A201"/>
    </row>
    <row r="202" spans="1:1" ht="15" x14ac:dyDescent="0.25">
      <c r="A202"/>
    </row>
    <row r="203" spans="1:1" ht="15" x14ac:dyDescent="0.25">
      <c r="A203"/>
    </row>
    <row r="204" spans="1:1" ht="15" x14ac:dyDescent="0.25">
      <c r="A204"/>
    </row>
    <row r="205" spans="1:1" ht="15" x14ac:dyDescent="0.25">
      <c r="A205"/>
    </row>
    <row r="206" spans="1:1" ht="15" x14ac:dyDescent="0.25">
      <c r="A206"/>
    </row>
    <row r="207" spans="1:1" ht="15" x14ac:dyDescent="0.25">
      <c r="A207"/>
    </row>
    <row r="208" spans="1:1" ht="15" x14ac:dyDescent="0.25">
      <c r="A208"/>
    </row>
    <row r="209" spans="1:1" ht="15" x14ac:dyDescent="0.25">
      <c r="A209"/>
    </row>
    <row r="210" spans="1:1" ht="15" x14ac:dyDescent="0.25">
      <c r="A210"/>
    </row>
    <row r="211" spans="1:1" ht="15" x14ac:dyDescent="0.25">
      <c r="A211"/>
    </row>
    <row r="212" spans="1:1" ht="15" x14ac:dyDescent="0.25">
      <c r="A212"/>
    </row>
    <row r="213" spans="1:1" ht="15" x14ac:dyDescent="0.25">
      <c r="A213"/>
    </row>
    <row r="214" spans="1:1" ht="15" x14ac:dyDescent="0.25">
      <c r="A214"/>
    </row>
    <row r="215" spans="1:1" ht="15" x14ac:dyDescent="0.25">
      <c r="A215"/>
    </row>
    <row r="216" spans="1:1" ht="15" x14ac:dyDescent="0.25">
      <c r="A216"/>
    </row>
    <row r="217" spans="1:1" ht="15" x14ac:dyDescent="0.25">
      <c r="A217"/>
    </row>
    <row r="218" spans="1:1" ht="15" x14ac:dyDescent="0.25">
      <c r="A218"/>
    </row>
    <row r="219" spans="1:1" ht="15" x14ac:dyDescent="0.25">
      <c r="A219"/>
    </row>
    <row r="220" spans="1:1" ht="15" x14ac:dyDescent="0.25">
      <c r="A220"/>
    </row>
    <row r="221" spans="1:1" ht="15" x14ac:dyDescent="0.25">
      <c r="A221"/>
    </row>
    <row r="222" spans="1:1" ht="15" x14ac:dyDescent="0.25">
      <c r="A222"/>
    </row>
    <row r="223" spans="1:1" ht="15" x14ac:dyDescent="0.25">
      <c r="A223"/>
    </row>
    <row r="224" spans="1:1" ht="15" x14ac:dyDescent="0.25">
      <c r="A224"/>
    </row>
    <row r="225" spans="1:1" ht="15" x14ac:dyDescent="0.25">
      <c r="A225"/>
    </row>
    <row r="226" spans="1:1" ht="15" x14ac:dyDescent="0.25">
      <c r="A226"/>
    </row>
    <row r="227" spans="1:1" ht="15" x14ac:dyDescent="0.25">
      <c r="A227"/>
    </row>
    <row r="228" spans="1:1" ht="15" x14ac:dyDescent="0.25">
      <c r="A228"/>
    </row>
    <row r="229" spans="1:1" ht="15" x14ac:dyDescent="0.25">
      <c r="A229"/>
    </row>
    <row r="230" spans="1:1" ht="15" x14ac:dyDescent="0.25">
      <c r="A230"/>
    </row>
    <row r="231" spans="1:1" ht="15" x14ac:dyDescent="0.25">
      <c r="A231"/>
    </row>
    <row r="232" spans="1:1" ht="15" x14ac:dyDescent="0.25">
      <c r="A232"/>
    </row>
    <row r="233" spans="1:1" ht="15" x14ac:dyDescent="0.25">
      <c r="A233"/>
    </row>
    <row r="234" spans="1:1" ht="15" x14ac:dyDescent="0.25">
      <c r="A234"/>
    </row>
    <row r="235" spans="1:1" ht="15" x14ac:dyDescent="0.25">
      <c r="A235"/>
    </row>
    <row r="236" spans="1:1" ht="15" x14ac:dyDescent="0.25">
      <c r="A236"/>
    </row>
    <row r="237" spans="1:1" ht="15" x14ac:dyDescent="0.25">
      <c r="A237"/>
    </row>
    <row r="238" spans="1:1" ht="15" x14ac:dyDescent="0.25">
      <c r="A238"/>
    </row>
    <row r="239" spans="1:1" ht="15" x14ac:dyDescent="0.25">
      <c r="A239"/>
    </row>
    <row r="240" spans="1:1" ht="15" x14ac:dyDescent="0.25">
      <c r="A240"/>
    </row>
    <row r="241" spans="1:1" ht="15" x14ac:dyDescent="0.25">
      <c r="A241"/>
    </row>
    <row r="242" spans="1:1" ht="15" x14ac:dyDescent="0.25">
      <c r="A242"/>
    </row>
    <row r="243" spans="1:1" ht="15" x14ac:dyDescent="0.25">
      <c r="A243"/>
    </row>
    <row r="244" spans="1:1" ht="15" x14ac:dyDescent="0.25">
      <c r="A244"/>
    </row>
    <row r="245" spans="1:1" ht="15" x14ac:dyDescent="0.25">
      <c r="A245"/>
    </row>
    <row r="246" spans="1:1" ht="15" x14ac:dyDescent="0.25">
      <c r="A246"/>
    </row>
    <row r="247" spans="1:1" ht="15" x14ac:dyDescent="0.25">
      <c r="A247"/>
    </row>
    <row r="248" spans="1:1" ht="15" x14ac:dyDescent="0.25">
      <c r="A248"/>
    </row>
    <row r="249" spans="1:1" ht="15" x14ac:dyDescent="0.25">
      <c r="A249"/>
    </row>
    <row r="250" spans="1:1" ht="15" x14ac:dyDescent="0.25">
      <c r="A250"/>
    </row>
    <row r="251" spans="1:1" ht="15" x14ac:dyDescent="0.25">
      <c r="A251"/>
    </row>
    <row r="252" spans="1:1" ht="15" x14ac:dyDescent="0.25">
      <c r="A252"/>
    </row>
    <row r="253" spans="1:1" ht="15" x14ac:dyDescent="0.25">
      <c r="A253"/>
    </row>
    <row r="254" spans="1:1" ht="15" x14ac:dyDescent="0.25">
      <c r="A254"/>
    </row>
    <row r="255" spans="1:1" ht="15" x14ac:dyDescent="0.25">
      <c r="A255"/>
    </row>
    <row r="256" spans="1:1" ht="15" x14ac:dyDescent="0.25">
      <c r="A256"/>
    </row>
    <row r="257" spans="1:1" ht="15" x14ac:dyDescent="0.25">
      <c r="A257"/>
    </row>
    <row r="258" spans="1:1" ht="15" x14ac:dyDescent="0.25">
      <c r="A258"/>
    </row>
    <row r="259" spans="1:1" ht="15" x14ac:dyDescent="0.25">
      <c r="A259"/>
    </row>
    <row r="260" spans="1:1" ht="15" x14ac:dyDescent="0.25">
      <c r="A260"/>
    </row>
    <row r="261" spans="1:1" ht="15" x14ac:dyDescent="0.25">
      <c r="A261"/>
    </row>
    <row r="262" spans="1:1" ht="15" x14ac:dyDescent="0.25">
      <c r="A262"/>
    </row>
    <row r="263" spans="1:1" ht="15" x14ac:dyDescent="0.25">
      <c r="A263"/>
    </row>
    <row r="264" spans="1:1" ht="15" x14ac:dyDescent="0.25">
      <c r="A264"/>
    </row>
    <row r="265" spans="1:1" ht="15" x14ac:dyDescent="0.25">
      <c r="A265"/>
    </row>
    <row r="266" spans="1:1" ht="15" x14ac:dyDescent="0.25">
      <c r="A266"/>
    </row>
    <row r="267" spans="1:1" ht="15" x14ac:dyDescent="0.25">
      <c r="A267"/>
    </row>
    <row r="268" spans="1:1" ht="15" x14ac:dyDescent="0.25">
      <c r="A268"/>
    </row>
    <row r="269" spans="1:1" ht="15" x14ac:dyDescent="0.25">
      <c r="A269"/>
    </row>
    <row r="270" spans="1:1" ht="15" x14ac:dyDescent="0.25">
      <c r="A270"/>
    </row>
    <row r="271" spans="1:1" ht="15" x14ac:dyDescent="0.25">
      <c r="A271"/>
    </row>
    <row r="272" spans="1:1" ht="15" x14ac:dyDescent="0.25">
      <c r="A272"/>
    </row>
    <row r="273" spans="1:1" ht="15" x14ac:dyDescent="0.25">
      <c r="A273"/>
    </row>
    <row r="274" spans="1:1" ht="15" x14ac:dyDescent="0.25">
      <c r="A274"/>
    </row>
    <row r="275" spans="1:1" ht="15" x14ac:dyDescent="0.25">
      <c r="A275"/>
    </row>
    <row r="276" spans="1:1" ht="15" x14ac:dyDescent="0.25">
      <c r="A276"/>
    </row>
    <row r="277" spans="1:1" ht="15" x14ac:dyDescent="0.25">
      <c r="A277"/>
    </row>
    <row r="278" spans="1:1" ht="15" x14ac:dyDescent="0.25">
      <c r="A278"/>
    </row>
    <row r="279" spans="1:1" ht="15" x14ac:dyDescent="0.25">
      <c r="A279"/>
    </row>
    <row r="280" spans="1:1" ht="15" x14ac:dyDescent="0.25">
      <c r="A280"/>
    </row>
    <row r="281" spans="1:1" ht="15" x14ac:dyDescent="0.25">
      <c r="A281"/>
    </row>
    <row r="282" spans="1:1" ht="15" x14ac:dyDescent="0.25">
      <c r="A282"/>
    </row>
    <row r="283" spans="1:1" ht="15" x14ac:dyDescent="0.25">
      <c r="A283"/>
    </row>
    <row r="284" spans="1:1" ht="15" x14ac:dyDescent="0.25">
      <c r="A284"/>
    </row>
    <row r="285" spans="1:1" ht="15" x14ac:dyDescent="0.25">
      <c r="A285"/>
    </row>
    <row r="286" spans="1:1" ht="15" x14ac:dyDescent="0.25">
      <c r="A286"/>
    </row>
    <row r="287" spans="1:1" ht="15" x14ac:dyDescent="0.25">
      <c r="A287"/>
    </row>
    <row r="288" spans="1:1" ht="15" x14ac:dyDescent="0.25">
      <c r="A288"/>
    </row>
    <row r="289" spans="1:1" ht="15" x14ac:dyDescent="0.25">
      <c r="A289"/>
    </row>
    <row r="290" spans="1:1" ht="15" x14ac:dyDescent="0.25">
      <c r="A290"/>
    </row>
    <row r="291" spans="1:1" ht="15" x14ac:dyDescent="0.25">
      <c r="A291"/>
    </row>
    <row r="292" spans="1:1" ht="15" x14ac:dyDescent="0.25">
      <c r="A292"/>
    </row>
    <row r="293" spans="1:1" ht="15" x14ac:dyDescent="0.25">
      <c r="A293"/>
    </row>
    <row r="294" spans="1:1" ht="15" x14ac:dyDescent="0.25">
      <c r="A294"/>
    </row>
    <row r="295" spans="1:1" ht="15" x14ac:dyDescent="0.25">
      <c r="A295"/>
    </row>
    <row r="296" spans="1:1" ht="15" x14ac:dyDescent="0.25">
      <c r="A296"/>
    </row>
    <row r="297" spans="1:1" ht="15" x14ac:dyDescent="0.25">
      <c r="A297"/>
    </row>
    <row r="298" spans="1:1" ht="15" x14ac:dyDescent="0.25">
      <c r="A298"/>
    </row>
    <row r="299" spans="1:1" ht="15" x14ac:dyDescent="0.25">
      <c r="A299"/>
    </row>
    <row r="300" spans="1:1" ht="15" x14ac:dyDescent="0.25">
      <c r="A300"/>
    </row>
  </sheetData>
  <pageMargins left="0.7" right="0.7" top="0.75" bottom="0.75" header="0.3" footer="0.3"/>
  <pageSetup paperSize="9" orientation="portrait" r:id="rId4"/>
  <drawing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679AA8-966E-4AB6-874B-72034583640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Project Hints</vt:lpstr>
      <vt:lpstr>Path</vt:lpstr>
      <vt:lpstr>Database</vt:lpstr>
      <vt:lpstr>Mapping</vt:lpstr>
      <vt:lpstr>Workings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Sandip Roy Choudhury</dc:creator>
  <cp:lastModifiedBy>Sandip Roy Choudhury</cp:lastModifiedBy>
  <dcterms:created xsi:type="dcterms:W3CDTF">2020-04-30T16:19:23Z</dcterms:created>
  <dcterms:modified xsi:type="dcterms:W3CDTF">2020-05-07T06:41:56Z</dcterms:modified>
</cp:coreProperties>
</file>